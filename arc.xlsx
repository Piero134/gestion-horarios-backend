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esktop\COORDINADOR EEGG\CARGA Y HORARIOS\"/>
    </mc:Choice>
  </mc:AlternateContent>
  <xr:revisionPtr revIDLastSave="0" documentId="13_ncr:1_{570CE934-95DC-4239-92E9-C6D657ABDC06}" xr6:coauthVersionLast="47" xr6:coauthVersionMax="47" xr10:uidLastSave="{00000000-0000-0000-0000-000000000000}"/>
  <bookViews>
    <workbookView xWindow="-120" yWindow="-120" windowWidth="29040" windowHeight="15720" xr2:uid="{57A696C7-B2C3-4DD8-A99F-2CBFFA9EC214}"/>
  </bookViews>
  <sheets>
    <sheet name="EEGG" sheetId="4" r:id="rId1"/>
    <sheet name="Horarios EEGG" sheetId="9" r:id="rId2"/>
    <sheet name="hor grupos" sheetId="10" r:id="rId3"/>
    <sheet name="P2023" sheetId="6" r:id="rId4"/>
    <sheet name="PLAN 2018" sheetId="3" r:id="rId5"/>
    <sheet name="LISTAS" sheetId="8" r:id="rId6"/>
  </sheets>
  <definedNames>
    <definedName name="_xlnm._FilterDatabase" localSheetId="0" hidden="1">EEGG!$A$4:$AS$112</definedName>
    <definedName name="_xlnm._FilterDatabase" localSheetId="3" hidden="1">'P2023'!$A$4:$K$140</definedName>
    <definedName name="_xlnm._FilterDatabase" localSheetId="4" hidden="1">'PLAN 2018'!$A$4:$I$208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4" l="1"/>
  <c r="H103" i="4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C15" i="9"/>
  <c r="D15" i="9"/>
  <c r="E15" i="9"/>
  <c r="C16" i="9"/>
  <c r="D16" i="9"/>
  <c r="E16" i="9"/>
  <c r="C17" i="9"/>
  <c r="D17" i="9"/>
  <c r="E17" i="9"/>
  <c r="C18" i="9"/>
  <c r="D18" i="9"/>
  <c r="E18" i="9"/>
  <c r="C19" i="9"/>
  <c r="D19" i="9"/>
  <c r="E19" i="9"/>
  <c r="C20" i="9"/>
  <c r="D20" i="9"/>
  <c r="E20" i="9"/>
  <c r="C21" i="9"/>
  <c r="D21" i="9"/>
  <c r="E21" i="9"/>
  <c r="F15" i="9" l="1"/>
  <c r="F14" i="9"/>
  <c r="F11" i="9"/>
  <c r="F10" i="9"/>
  <c r="O15" i="4"/>
  <c r="O14" i="4"/>
  <c r="H15" i="4"/>
  <c r="H14" i="4"/>
  <c r="O108" i="4"/>
  <c r="O107" i="4"/>
  <c r="O90" i="4"/>
  <c r="O91" i="4"/>
  <c r="O74" i="4"/>
  <c r="O73" i="4"/>
  <c r="O57" i="4"/>
  <c r="O56" i="4"/>
  <c r="O40" i="4"/>
  <c r="O39" i="4"/>
  <c r="O23" i="4"/>
  <c r="O22" i="4"/>
  <c r="O106" i="4"/>
  <c r="O105" i="4"/>
  <c r="O89" i="4"/>
  <c r="O88" i="4"/>
  <c r="O72" i="4"/>
  <c r="O71" i="4"/>
  <c r="O55" i="4"/>
  <c r="O54" i="4"/>
  <c r="O38" i="4"/>
  <c r="O37" i="4"/>
  <c r="O21" i="4"/>
  <c r="O20" i="4"/>
  <c r="O104" i="4"/>
  <c r="O103" i="4"/>
  <c r="O87" i="4"/>
  <c r="O86" i="4"/>
  <c r="O70" i="4"/>
  <c r="O69" i="4"/>
  <c r="O53" i="4"/>
  <c r="O52" i="4"/>
  <c r="O36" i="4"/>
  <c r="O35" i="4"/>
  <c r="O19" i="4"/>
  <c r="O18" i="4"/>
  <c r="O102" i="4"/>
  <c r="O101" i="4"/>
  <c r="O85" i="4"/>
  <c r="O84" i="4"/>
  <c r="O68" i="4"/>
  <c r="O67" i="4"/>
  <c r="O51" i="4"/>
  <c r="O50" i="4"/>
  <c r="O34" i="4"/>
  <c r="O33" i="4"/>
  <c r="O17" i="4"/>
  <c r="O16" i="4"/>
  <c r="O100" i="4"/>
  <c r="O99" i="4"/>
  <c r="O83" i="4"/>
  <c r="O82" i="4"/>
  <c r="O66" i="4"/>
  <c r="O65" i="4"/>
  <c r="O49" i="4"/>
  <c r="O48" i="4"/>
  <c r="O32" i="4"/>
  <c r="O31" i="4"/>
  <c r="O13" i="4"/>
  <c r="O12" i="4"/>
  <c r="O98" i="4"/>
  <c r="O97" i="4"/>
  <c r="O81" i="4"/>
  <c r="O80" i="4"/>
  <c r="O64" i="4"/>
  <c r="O63" i="4"/>
  <c r="O47" i="4"/>
  <c r="O46" i="4"/>
  <c r="O30" i="4"/>
  <c r="O29" i="4"/>
  <c r="O11" i="4"/>
  <c r="O10" i="4"/>
  <c r="O96" i="4"/>
  <c r="O95" i="4"/>
  <c r="O94" i="4"/>
  <c r="O79" i="4"/>
  <c r="O78" i="4"/>
  <c r="O77" i="4"/>
  <c r="O62" i="4"/>
  <c r="O61" i="4"/>
  <c r="O60" i="4"/>
  <c r="O45" i="4"/>
  <c r="O44" i="4"/>
  <c r="O43" i="4"/>
  <c r="O28" i="4"/>
  <c r="O27" i="4"/>
  <c r="O26" i="4"/>
  <c r="O9" i="4"/>
  <c r="O8" i="4"/>
  <c r="O7" i="4"/>
  <c r="O93" i="4"/>
  <c r="O92" i="4"/>
  <c r="O76" i="4"/>
  <c r="O75" i="4"/>
  <c r="O59" i="4"/>
  <c r="O58" i="4"/>
  <c r="O42" i="4"/>
  <c r="O41" i="4"/>
  <c r="O25" i="4"/>
  <c r="O24" i="4"/>
  <c r="O6" i="4"/>
  <c r="O5" i="4"/>
  <c r="D144" i="9"/>
  <c r="E144" i="9"/>
  <c r="E143" i="9"/>
  <c r="D143" i="9"/>
  <c r="E139" i="9"/>
  <c r="E138" i="9"/>
  <c r="D139" i="9"/>
  <c r="D138" i="9"/>
  <c r="C144" i="9"/>
  <c r="C143" i="9"/>
  <c r="C139" i="9"/>
  <c r="C138" i="9"/>
  <c r="A141" i="9"/>
  <c r="A136" i="9"/>
  <c r="E132" i="9"/>
  <c r="D132" i="9"/>
  <c r="C132" i="9"/>
  <c r="E131" i="9"/>
  <c r="D131" i="9"/>
  <c r="E130" i="9"/>
  <c r="D130" i="9"/>
  <c r="C130" i="9"/>
  <c r="E129" i="9"/>
  <c r="D129" i="9"/>
  <c r="C129" i="9"/>
  <c r="E128" i="9"/>
  <c r="D128" i="9"/>
  <c r="C128" i="9"/>
  <c r="E127" i="9"/>
  <c r="D127" i="9"/>
  <c r="C127" i="9"/>
  <c r="E126" i="9"/>
  <c r="D126" i="9"/>
  <c r="C126" i="9"/>
  <c r="E125" i="9"/>
  <c r="D125" i="9"/>
  <c r="C125" i="9"/>
  <c r="E124" i="9"/>
  <c r="D124" i="9"/>
  <c r="C124" i="9"/>
  <c r="E123" i="9"/>
  <c r="D123" i="9"/>
  <c r="C123" i="9"/>
  <c r="E122" i="9"/>
  <c r="D122" i="9"/>
  <c r="C122" i="9"/>
  <c r="E121" i="9"/>
  <c r="D121" i="9"/>
  <c r="C121" i="9"/>
  <c r="A119" i="9"/>
  <c r="E117" i="9"/>
  <c r="D117" i="9"/>
  <c r="C117" i="9"/>
  <c r="E116" i="9"/>
  <c r="D116" i="9"/>
  <c r="C116" i="9"/>
  <c r="E115" i="9"/>
  <c r="D115" i="9"/>
  <c r="C115" i="9"/>
  <c r="E114" i="9"/>
  <c r="D114" i="9"/>
  <c r="C114" i="9"/>
  <c r="E113" i="9"/>
  <c r="D113" i="9"/>
  <c r="C113" i="9"/>
  <c r="E112" i="9"/>
  <c r="D112" i="9"/>
  <c r="C112" i="9"/>
  <c r="E111" i="9"/>
  <c r="D111" i="9"/>
  <c r="C111" i="9"/>
  <c r="E110" i="9"/>
  <c r="D110" i="9"/>
  <c r="C110" i="9"/>
  <c r="E109" i="9"/>
  <c r="D109" i="9"/>
  <c r="C109" i="9"/>
  <c r="E108" i="9"/>
  <c r="D108" i="9"/>
  <c r="C108" i="9"/>
  <c r="E107" i="9"/>
  <c r="D107" i="9"/>
  <c r="C107" i="9"/>
  <c r="E106" i="9"/>
  <c r="D106" i="9"/>
  <c r="C106" i="9"/>
  <c r="A104" i="9"/>
  <c r="E102" i="9"/>
  <c r="D102" i="9"/>
  <c r="C102" i="9"/>
  <c r="E101" i="9"/>
  <c r="D101" i="9"/>
  <c r="C101" i="9"/>
  <c r="E100" i="9"/>
  <c r="D100" i="9"/>
  <c r="C100" i="9"/>
  <c r="E99" i="9"/>
  <c r="D99" i="9"/>
  <c r="C99" i="9"/>
  <c r="E98" i="9"/>
  <c r="D98" i="9"/>
  <c r="C98" i="9"/>
  <c r="E97" i="9"/>
  <c r="D97" i="9"/>
  <c r="C97" i="9"/>
  <c r="E96" i="9"/>
  <c r="D96" i="9"/>
  <c r="C96" i="9"/>
  <c r="E95" i="9"/>
  <c r="D95" i="9"/>
  <c r="C95" i="9"/>
  <c r="E94" i="9"/>
  <c r="D94" i="9"/>
  <c r="C94" i="9"/>
  <c r="E93" i="9"/>
  <c r="D93" i="9"/>
  <c r="C93" i="9"/>
  <c r="E92" i="9"/>
  <c r="D92" i="9"/>
  <c r="C92" i="9"/>
  <c r="E91" i="9"/>
  <c r="D91" i="9"/>
  <c r="C91" i="9"/>
  <c r="E87" i="9"/>
  <c r="D87" i="9"/>
  <c r="C87" i="9"/>
  <c r="E86" i="9"/>
  <c r="D86" i="9"/>
  <c r="C86" i="9"/>
  <c r="E85" i="9"/>
  <c r="D85" i="9"/>
  <c r="C85" i="9"/>
  <c r="E84" i="9"/>
  <c r="D84" i="9"/>
  <c r="C84" i="9"/>
  <c r="E83" i="9"/>
  <c r="D83" i="9"/>
  <c r="C83" i="9"/>
  <c r="E82" i="9"/>
  <c r="D82" i="9"/>
  <c r="C82" i="9"/>
  <c r="E81" i="9"/>
  <c r="D81" i="9"/>
  <c r="C81" i="9"/>
  <c r="E80" i="9"/>
  <c r="D80" i="9"/>
  <c r="C80" i="9"/>
  <c r="E79" i="9"/>
  <c r="D79" i="9"/>
  <c r="C79" i="9"/>
  <c r="E78" i="9"/>
  <c r="D78" i="9"/>
  <c r="C78" i="9"/>
  <c r="E77" i="9"/>
  <c r="D77" i="9"/>
  <c r="C77" i="9"/>
  <c r="E76" i="9"/>
  <c r="D76" i="9"/>
  <c r="C76" i="9"/>
  <c r="E72" i="9"/>
  <c r="D72" i="9"/>
  <c r="C72" i="9"/>
  <c r="E71" i="9"/>
  <c r="D71" i="9"/>
  <c r="C71" i="9"/>
  <c r="E70" i="9"/>
  <c r="D70" i="9"/>
  <c r="C70" i="9"/>
  <c r="E69" i="9"/>
  <c r="D69" i="9"/>
  <c r="C69" i="9"/>
  <c r="E68" i="9"/>
  <c r="D68" i="9"/>
  <c r="C68" i="9"/>
  <c r="E67" i="9"/>
  <c r="D67" i="9"/>
  <c r="C67" i="9"/>
  <c r="E66" i="9"/>
  <c r="D66" i="9"/>
  <c r="C66" i="9"/>
  <c r="E65" i="9"/>
  <c r="D65" i="9"/>
  <c r="C65" i="9"/>
  <c r="E64" i="9"/>
  <c r="D64" i="9"/>
  <c r="C64" i="9"/>
  <c r="E63" i="9"/>
  <c r="D63" i="9"/>
  <c r="C63" i="9"/>
  <c r="E62" i="9"/>
  <c r="D62" i="9"/>
  <c r="C62" i="9"/>
  <c r="E61" i="9"/>
  <c r="D61" i="9"/>
  <c r="C61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A89" i="9"/>
  <c r="A74" i="9"/>
  <c r="A59" i="9"/>
  <c r="E57" i="9"/>
  <c r="D57" i="9"/>
  <c r="C57" i="9"/>
  <c r="E56" i="9"/>
  <c r="D56" i="9"/>
  <c r="C56" i="9"/>
  <c r="E55" i="9"/>
  <c r="D55" i="9"/>
  <c r="C55" i="9"/>
  <c r="E54" i="9"/>
  <c r="D54" i="9"/>
  <c r="C54" i="9"/>
  <c r="E53" i="9"/>
  <c r="D53" i="9"/>
  <c r="C53" i="9"/>
  <c r="E52" i="9"/>
  <c r="D52" i="9"/>
  <c r="C52" i="9"/>
  <c r="E51" i="9"/>
  <c r="D51" i="9"/>
  <c r="C51" i="9"/>
  <c r="E50" i="9"/>
  <c r="D50" i="9"/>
  <c r="C50" i="9"/>
  <c r="E49" i="9"/>
  <c r="D49" i="9"/>
  <c r="C49" i="9"/>
  <c r="E48" i="9"/>
  <c r="D48" i="9"/>
  <c r="C48" i="9"/>
  <c r="E47" i="9"/>
  <c r="D47" i="9"/>
  <c r="C47" i="9"/>
  <c r="E46" i="9"/>
  <c r="D46" i="9"/>
  <c r="C46" i="9"/>
  <c r="A44" i="9"/>
  <c r="A23" i="9"/>
  <c r="A8" i="9"/>
  <c r="H160" i="3" l="1"/>
  <c r="H159" i="3"/>
  <c r="H158" i="3"/>
  <c r="H157" i="3"/>
  <c r="H156" i="3"/>
  <c r="H161" i="3"/>
  <c r="H208" i="3"/>
  <c r="H184" i="3"/>
  <c r="H191" i="3"/>
  <c r="H192" i="3"/>
  <c r="H190" i="3"/>
  <c r="H189" i="3"/>
  <c r="H188" i="3"/>
  <c r="H187" i="3"/>
  <c r="H186" i="3"/>
  <c r="H185" i="3"/>
  <c r="H173" i="3"/>
  <c r="H172" i="3"/>
  <c r="H171" i="3"/>
  <c r="H178" i="3"/>
  <c r="H177" i="3"/>
  <c r="H170" i="3"/>
  <c r="H175" i="3"/>
  <c r="H176" i="3"/>
  <c r="H169" i="3"/>
  <c r="H168" i="3"/>
  <c r="H167" i="3"/>
  <c r="H166" i="3"/>
  <c r="H165" i="3"/>
  <c r="H183" i="3"/>
  <c r="H182" i="3"/>
  <c r="H181" i="3"/>
  <c r="H180" i="3"/>
  <c r="H179" i="3"/>
  <c r="H174" i="3"/>
  <c r="H164" i="3"/>
  <c r="H163" i="3"/>
  <c r="H162" i="3"/>
  <c r="H155" i="3"/>
  <c r="H154" i="3"/>
  <c r="H144" i="3"/>
  <c r="H143" i="3"/>
  <c r="H133" i="3"/>
  <c r="H132" i="3"/>
  <c r="H153" i="3"/>
  <c r="H142" i="3"/>
  <c r="H131" i="3"/>
  <c r="H152" i="3"/>
  <c r="H141" i="3"/>
  <c r="H130" i="3"/>
  <c r="H151" i="3"/>
  <c r="H150" i="3"/>
  <c r="H140" i="3"/>
  <c r="H139" i="3"/>
  <c r="H129" i="3"/>
  <c r="H128" i="3"/>
  <c r="H149" i="3"/>
  <c r="H138" i="3"/>
  <c r="H127" i="3"/>
  <c r="H148" i="3"/>
  <c r="H147" i="3"/>
  <c r="H137" i="3"/>
  <c r="H136" i="3"/>
  <c r="H126" i="3"/>
  <c r="H125" i="3"/>
  <c r="H146" i="3"/>
  <c r="H145" i="3"/>
  <c r="H135" i="3"/>
  <c r="H134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00" i="3"/>
  <c r="H99" i="3"/>
  <c r="H110" i="3"/>
  <c r="H109" i="3"/>
  <c r="H108" i="3"/>
  <c r="H107" i="3"/>
  <c r="H102" i="3"/>
  <c r="H101" i="3"/>
  <c r="H106" i="3"/>
  <c r="H105" i="3"/>
  <c r="H104" i="3"/>
  <c r="H103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136" i="6"/>
  <c r="H135" i="6"/>
  <c r="H140" i="6"/>
  <c r="H139" i="6"/>
  <c r="H138" i="6"/>
  <c r="H137" i="6"/>
  <c r="H134" i="6"/>
  <c r="H133" i="6"/>
  <c r="H132" i="6"/>
  <c r="H131" i="6"/>
  <c r="H130" i="6"/>
  <c r="H129" i="6"/>
  <c r="H128" i="6"/>
  <c r="H110" i="6"/>
  <c r="H109" i="6"/>
  <c r="H114" i="6"/>
  <c r="H113" i="6"/>
  <c r="H112" i="6"/>
  <c r="H111" i="6"/>
  <c r="H108" i="6"/>
  <c r="H107" i="6"/>
  <c r="H106" i="6"/>
  <c r="H105" i="6"/>
  <c r="H104" i="6"/>
  <c r="H103" i="6"/>
  <c r="H102" i="6"/>
  <c r="H29" i="6"/>
  <c r="H30" i="6"/>
  <c r="H70" i="6"/>
  <c r="H69" i="6"/>
  <c r="H63" i="6"/>
  <c r="H62" i="6"/>
  <c r="H67" i="6"/>
  <c r="H66" i="6"/>
  <c r="H73" i="6"/>
  <c r="H72" i="6"/>
  <c r="H71" i="6"/>
  <c r="H61" i="6"/>
  <c r="H60" i="6"/>
  <c r="H68" i="6"/>
  <c r="H65" i="6"/>
  <c r="H64" i="6"/>
  <c r="H123" i="6"/>
  <c r="H122" i="6"/>
  <c r="H121" i="6"/>
  <c r="H120" i="6"/>
  <c r="H119" i="6"/>
  <c r="H118" i="6"/>
  <c r="H117" i="6"/>
  <c r="H116" i="6"/>
  <c r="H115" i="6"/>
  <c r="H125" i="6"/>
  <c r="H124" i="6"/>
  <c r="H127" i="6"/>
  <c r="H126" i="6"/>
  <c r="H97" i="6"/>
  <c r="H96" i="6"/>
  <c r="H95" i="6"/>
  <c r="H94" i="6"/>
  <c r="H93" i="6"/>
  <c r="H92" i="6"/>
  <c r="H91" i="6"/>
  <c r="H90" i="6"/>
  <c r="H89" i="6"/>
  <c r="H99" i="6"/>
  <c r="H98" i="6"/>
  <c r="H101" i="6"/>
  <c r="H100" i="6"/>
  <c r="H53" i="6"/>
  <c r="H52" i="6"/>
  <c r="H56" i="6"/>
  <c r="H55" i="6"/>
  <c r="H54" i="6"/>
  <c r="H59" i="6"/>
  <c r="H58" i="6"/>
  <c r="H57" i="6"/>
  <c r="H49" i="6"/>
  <c r="H48" i="6"/>
  <c r="H51" i="6"/>
  <c r="H50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87" i="6"/>
  <c r="H81" i="6"/>
  <c r="H85" i="6"/>
  <c r="H84" i="6"/>
  <c r="H83" i="6"/>
  <c r="H88" i="6"/>
  <c r="H86" i="6"/>
  <c r="H79" i="6"/>
  <c r="H78" i="6"/>
  <c r="H82" i="6"/>
  <c r="H80" i="6"/>
  <c r="H77" i="6"/>
  <c r="H76" i="6"/>
  <c r="H75" i="6"/>
  <c r="H74" i="6"/>
  <c r="H27" i="6"/>
  <c r="H31" i="6"/>
  <c r="H28" i="6"/>
  <c r="H26" i="6"/>
  <c r="H25" i="6"/>
  <c r="H24" i="6"/>
  <c r="H23" i="6"/>
  <c r="H22" i="6"/>
  <c r="H21" i="6"/>
  <c r="H20" i="6"/>
  <c r="H19" i="6"/>
  <c r="H18" i="6"/>
  <c r="H6" i="6"/>
  <c r="H5" i="6"/>
  <c r="H13" i="6"/>
  <c r="H12" i="6"/>
  <c r="H11" i="6"/>
  <c r="H10" i="6"/>
  <c r="H9" i="6"/>
  <c r="H8" i="6"/>
  <c r="H7" i="6"/>
  <c r="H17" i="6"/>
  <c r="H16" i="6"/>
  <c r="H15" i="6"/>
  <c r="H14" i="6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112" i="4"/>
  <c r="H110" i="4"/>
  <c r="H111" i="4"/>
  <c r="H109" i="4"/>
  <c r="H108" i="4"/>
  <c r="H107" i="4"/>
  <c r="H106" i="4"/>
  <c r="H105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17" i="4"/>
  <c r="H16" i="4"/>
  <c r="H6" i="4"/>
  <c r="H13" i="4"/>
  <c r="H12" i="4"/>
  <c r="H11" i="4"/>
  <c r="H21" i="4"/>
  <c r="H20" i="4"/>
  <c r="H5" i="4"/>
  <c r="H19" i="4"/>
  <c r="H18" i="4"/>
  <c r="H10" i="4"/>
  <c r="H9" i="4"/>
  <c r="H8" i="4"/>
  <c r="H7" i="4"/>
</calcChain>
</file>

<file path=xl/sharedStrings.xml><?xml version="1.0" encoding="utf-8"?>
<sst xmlns="http://schemas.openxmlformats.org/spreadsheetml/2006/main" count="2300" uniqueCount="173">
  <si>
    <t>GRUPO</t>
  </si>
  <si>
    <t>T</t>
  </si>
  <si>
    <t>DIA</t>
  </si>
  <si>
    <t>DOCENTE</t>
  </si>
  <si>
    <t>G1</t>
  </si>
  <si>
    <t>P</t>
  </si>
  <si>
    <t>G2</t>
  </si>
  <si>
    <t>G3</t>
  </si>
  <si>
    <t>G4</t>
  </si>
  <si>
    <t>G5</t>
  </si>
  <si>
    <t>G6</t>
  </si>
  <si>
    <t>ASIGNATURA</t>
  </si>
  <si>
    <t>CALCULO 1</t>
  </si>
  <si>
    <t>1LUNES</t>
  </si>
  <si>
    <t>2MARTES</t>
  </si>
  <si>
    <t>3MIERCOLES</t>
  </si>
  <si>
    <t>4JUEVES</t>
  </si>
  <si>
    <t>5VIERNES</t>
  </si>
  <si>
    <t>T/P/L</t>
  </si>
  <si>
    <t>CICLO</t>
  </si>
  <si>
    <t>CÁLCULO II</t>
  </si>
  <si>
    <t>FÍSICA</t>
  </si>
  <si>
    <t>6SABADO</t>
  </si>
  <si>
    <t>INTRODUCCIÓN A LA COMPUTACIÓN</t>
  </si>
  <si>
    <t>SERIES Y ECUACIONES DIFERENCIALES</t>
  </si>
  <si>
    <t xml:space="preserve">ELECTROMAGNETISMO Y ÓPTICA </t>
  </si>
  <si>
    <t>PROGRAMACIÓN DE COMPUTADORAS I</t>
  </si>
  <si>
    <t xml:space="preserve">FUNDAMENTOS DE SISTEMAS DE INFORMACIÓN </t>
  </si>
  <si>
    <t xml:space="preserve">MATEMÁTICAS DISCRETAS </t>
  </si>
  <si>
    <t xml:space="preserve">ORGANIZACIÓN EMPRESARIAL </t>
  </si>
  <si>
    <t>PROGRAMACIÓN DE COMPUTADORAS II</t>
  </si>
  <si>
    <t>MÉTODOS NUMÉRICOS</t>
  </si>
  <si>
    <t>ARQUITECTURA DE COMPUTADORAS</t>
  </si>
  <si>
    <t>ESTADÍSTICA I</t>
  </si>
  <si>
    <t>INGENIERÍA ECONÓMICA</t>
  </si>
  <si>
    <t>L</t>
  </si>
  <si>
    <t>EP INGNIERIA DE SISTEMAS</t>
  </si>
  <si>
    <t>H.INI</t>
  </si>
  <si>
    <t>H.FIN</t>
  </si>
  <si>
    <t>P2023</t>
  </si>
  <si>
    <t>P2018</t>
  </si>
  <si>
    <t>TOTAL</t>
  </si>
  <si>
    <t>PROGRAMACION Y FUNDAMENTOS DE ALGORITMOS</t>
  </si>
  <si>
    <t>TEORIA GENERAL DE SISTEMAS</t>
  </si>
  <si>
    <t>PROGRAMACION Y FUNDAMENTOS DE ALGORITMiCA</t>
  </si>
  <si>
    <t>FISICA ELECTRÓNICA Y SISTEMAS DIGITALES</t>
  </si>
  <si>
    <t>ALGORITMICA Y PROGRAMACIÓN ORIENTADA A OBJETOS</t>
  </si>
  <si>
    <t>MARKETING</t>
  </si>
  <si>
    <t>CONTABILIDAD GENERAL</t>
  </si>
  <si>
    <t>ORGANIZACIÓN Y ADMINISTRACIÓN</t>
  </si>
  <si>
    <t>PROCESOS DE NEGOCIO</t>
  </si>
  <si>
    <t>PROBABILIDADES Y MUESTREO</t>
  </si>
  <si>
    <t>ESTADÍSTICA</t>
  </si>
  <si>
    <t>ANÁLISIS DE SISTEMAS DE INFORMACIÓN</t>
  </si>
  <si>
    <t>BASE DE DATOS</t>
  </si>
  <si>
    <t>ESTRUCTURA DE DATOS</t>
  </si>
  <si>
    <t>MODELOS Y SIMULACIÓN</t>
  </si>
  <si>
    <t>LENGUAJES Y COMPILADORES</t>
  </si>
  <si>
    <t>DISEÑO Y ANALISIS DE ALGORITMOS</t>
  </si>
  <si>
    <t>Big Data</t>
  </si>
  <si>
    <t>Computacion visual</t>
  </si>
  <si>
    <t xml:space="preserve">Diseño de Sistemas de Información </t>
  </si>
  <si>
    <t xml:space="preserve">Finanzas para la Gestión </t>
  </si>
  <si>
    <t xml:space="preserve">Investigación Operativa </t>
  </si>
  <si>
    <t>Redes, transmisión y automatización y control</t>
  </si>
  <si>
    <t xml:space="preserve">Sistemas Operativos </t>
  </si>
  <si>
    <t xml:space="preserve">Desarrollo de sistemas Web </t>
  </si>
  <si>
    <t>Formulación y evaluación de proyectos</t>
  </si>
  <si>
    <t xml:space="preserve">Inteligencia Artificial </t>
  </si>
  <si>
    <t xml:space="preserve">Inteligencia de Negocios </t>
  </si>
  <si>
    <t xml:space="preserve">Interacción HombreComputador  </t>
  </si>
  <si>
    <t xml:space="preserve">Internet de las Cosas </t>
  </si>
  <si>
    <t>Programación paralela</t>
  </si>
  <si>
    <t>Auditoría y seguridad de tecnologias de indformación</t>
  </si>
  <si>
    <t xml:space="preserve">Desarrollo de sistemas Móviles </t>
  </si>
  <si>
    <t xml:space="preserve">Gestión de Proyectos de TI </t>
  </si>
  <si>
    <t>Ingeniería de la información</t>
  </si>
  <si>
    <t xml:space="preserve">Metodología de la elabración de tesis </t>
  </si>
  <si>
    <t xml:space="preserve">Sistemas Distribuidos </t>
  </si>
  <si>
    <t xml:space="preserve">Sistemas Inteligentes </t>
  </si>
  <si>
    <t xml:space="preserve">Arquitectura empresarial </t>
  </si>
  <si>
    <t xml:space="preserve">Desarrollo de Proyecto de Tesis I </t>
  </si>
  <si>
    <t xml:space="preserve">Ética y derecho informatico </t>
  </si>
  <si>
    <t>Innovación, cambio organizacionla y emprendimiento</t>
  </si>
  <si>
    <t xml:space="preserve">Minería de Datos </t>
  </si>
  <si>
    <t>Taller de aplicaciones distribuídas</t>
  </si>
  <si>
    <t xml:space="preserve">Tendencias en Sistemas de Información </t>
  </si>
  <si>
    <t xml:space="preserve">Desarrollo de Proyecto de Tesis II </t>
  </si>
  <si>
    <t>Gerencia informatica</t>
  </si>
  <si>
    <t>Gestion de conocimiento</t>
  </si>
  <si>
    <t>Planeación de Recursos empresariales</t>
  </si>
  <si>
    <t xml:space="preserve">Practica profesional </t>
  </si>
  <si>
    <t>G7</t>
  </si>
  <si>
    <t>G8</t>
  </si>
  <si>
    <t>PROGRAMACION ACADEMICA 2025-I</t>
  </si>
  <si>
    <t>REDACCIÓN Y TÉCNICAS DE COMUNICACIÓN EFECTIVA I</t>
  </si>
  <si>
    <t xml:space="preserve">METODOS DE ESTUDIOS UNIVERSITARIOS </t>
  </si>
  <si>
    <t>DESARROLLO PERSONAL Y LIDERAZGO</t>
  </si>
  <si>
    <t>BIOLOGÍA PARA CIENCIAS E INGENIERÍA</t>
  </si>
  <si>
    <t>ÁLGEBRA Y GEOMETRÍA ANALÍTICA</t>
  </si>
  <si>
    <t>MEDIO AMBIENTE Y DESARROLLO SOSTENIBLE</t>
  </si>
  <si>
    <t>PROGRAMACIÓN Y COMPUTACIÓN</t>
  </si>
  <si>
    <t>1T</t>
  </si>
  <si>
    <t>2P</t>
  </si>
  <si>
    <t>3L</t>
  </si>
  <si>
    <t>TOT</t>
  </si>
  <si>
    <t>Plan 2023</t>
  </si>
  <si>
    <t xml:space="preserve">ANÁLISIS DE SISTEMAS DE INFORMACIÓN </t>
  </si>
  <si>
    <t>DISEÑO DE BASE DE DATOS</t>
  </si>
  <si>
    <t xml:space="preserve">ESTRUCTURA DE DATOS </t>
  </si>
  <si>
    <t>ESTADÍSTICA II</t>
  </si>
  <si>
    <t>SISTEMAS OPERATIVOS</t>
  </si>
  <si>
    <t>INVESTIGACIÓN OPERATIVA</t>
  </si>
  <si>
    <t>SI</t>
  </si>
  <si>
    <t>SW</t>
  </si>
  <si>
    <t>CC</t>
  </si>
  <si>
    <t>DISEÑO DE SISTEMAS DE INFORMACIÓN</t>
  </si>
  <si>
    <t>ADMINISTRACIÓN DE BASE DE DATOS</t>
  </si>
  <si>
    <t>REDES Y COMUNICACIONES</t>
  </si>
  <si>
    <t>DISEÑO DE INTERFACES DE USUARIO</t>
  </si>
  <si>
    <t>FINANZAS PARA LA GESTIÓN</t>
  </si>
  <si>
    <t>G9</t>
  </si>
  <si>
    <t>PROGRAMACION ACADEMICA 2026-I</t>
  </si>
  <si>
    <t>COORDINACION DE EEGG</t>
  </si>
  <si>
    <t>RIOS DELGADO JHOANNA</t>
  </si>
  <si>
    <t>DIONICIO MEJIA CARMEN</t>
  </si>
  <si>
    <t>FANOLA MERINO PETRONILA</t>
  </si>
  <si>
    <t>ORELLLANA MANRRIQUE YOLANDA</t>
  </si>
  <si>
    <t>FACULTAD DE INGENIERÍA DE SISTEMAS E INFORMÁTICA</t>
  </si>
  <si>
    <t>COORDINACION DE ESTUDIOS GENERALES</t>
  </si>
  <si>
    <t>CICLO I</t>
  </si>
  <si>
    <t>HORARIO</t>
  </si>
  <si>
    <t>G-1</t>
  </si>
  <si>
    <t>LUNES</t>
  </si>
  <si>
    <t>G-2</t>
  </si>
  <si>
    <t>G-3</t>
  </si>
  <si>
    <t>G-4</t>
  </si>
  <si>
    <t>G-5</t>
  </si>
  <si>
    <t>G-6</t>
  </si>
  <si>
    <t>Hora</t>
  </si>
  <si>
    <t>CICLO Ii</t>
  </si>
  <si>
    <t>MARTES</t>
  </si>
  <si>
    <t>MIERCOLES</t>
  </si>
  <si>
    <t>JUEVES</t>
  </si>
  <si>
    <t>VIERNES</t>
  </si>
  <si>
    <t>SÁBADO</t>
  </si>
  <si>
    <t>H. INI.</t>
  </si>
  <si>
    <t>H. FIN</t>
  </si>
  <si>
    <t>GRUPO 2</t>
  </si>
  <si>
    <t>GRUPO 1</t>
  </si>
  <si>
    <t>UNIVERSIDAD NACIONAL MAYOR DE SAN MARCOS</t>
  </si>
  <si>
    <t>HORARIOS DE ASIGNATURAS DE ESTUDIOS GENERALES 2026-1</t>
  </si>
  <si>
    <t>DOCENTE PROPUESTO</t>
  </si>
  <si>
    <t>ÁLGEBRA Y GEOMETRÍA ANALÍTICA
docente
aula</t>
  </si>
  <si>
    <t>Aula</t>
  </si>
  <si>
    <t>TERREROS NAVARRO, HELLEN</t>
  </si>
  <si>
    <t>HUAMAN TINCO BORJA</t>
  </si>
  <si>
    <t>VILLASANTE BRAVO NAYSHA</t>
  </si>
  <si>
    <t>LLERENA  LUCERO TEODORO</t>
  </si>
  <si>
    <t>TERREROS NAVARRO HELLEN</t>
  </si>
  <si>
    <t>IA</t>
  </si>
  <si>
    <t>INTRODUCCION A LA COMPUTACION</t>
  </si>
  <si>
    <t>AGUIILAR CORONEL, JHONATHAM</t>
  </si>
  <si>
    <t>COLCA GARCIA HEDDY</t>
  </si>
  <si>
    <t>COSME FELIX MIRIAM</t>
  </si>
  <si>
    <t>DAMASO RIOS MARIA ROSA</t>
  </si>
  <si>
    <t>ARIAS RAMIREZ ANGELA</t>
  </si>
  <si>
    <t>MARAVI PERCCA EDWIN</t>
  </si>
  <si>
    <t>SANTISTEBAN PAZOS JOSE</t>
  </si>
  <si>
    <t xml:space="preserve">CUADROS VARGAS ERNESTO </t>
  </si>
  <si>
    <t>RUIZ RIVERA MARIA ELENA</t>
  </si>
  <si>
    <t>ROMERO NAUPARI PABLO</t>
  </si>
  <si>
    <t>GUEVARA RESIDENCIA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</si>
</sst>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General"/>
    <numFmt numFmtId="165" formatCode="[$-C0A]h&quot;:&quot;mm"/>
    <numFmt numFmtId="166" formatCode="h&quot;:&quot;mm"/>
  </numFmts>
  <fonts count="21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99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99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99FFCC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99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9" tint="0.79998168889431442"/>
        <bgColor rgb="FF99FFCC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79998168889431442"/>
        <bgColor rgb="FF99FFCC"/>
      </patternFill>
    </fill>
    <fill>
      <patternFill patternType="solid">
        <fgColor theme="4" tint="0.79998168889431442"/>
        <bgColor rgb="FF99FFCC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/>
  </cellStyleXfs>
  <cellXfs count="669">
    <xf numFmtId="0" fontId="0" fillId="0" borderId="0" xfId="0"/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0" fillId="0" borderId="1" xfId="0" applyBorder="1"/>
    <xf numFmtId="0" fontId="6" fillId="13" borderId="1" xfId="0" applyFont="1" applyFill="1" applyBorder="1" applyAlignment="1">
      <alignment horizontal="left" vertical="center"/>
    </xf>
    <xf numFmtId="0" fontId="1" fillId="0" borderId="0" xfId="0" applyFont="1"/>
    <xf numFmtId="164" fontId="2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164" fontId="3" fillId="14" borderId="1" xfId="0" applyNumberFormat="1" applyFont="1" applyFill="1" applyBorder="1" applyAlignment="1">
      <alignment horizontal="center" vertical="center"/>
    </xf>
    <xf numFmtId="165" fontId="1" fillId="15" borderId="6" xfId="0" applyNumberFormat="1" applyFont="1" applyFill="1" applyBorder="1" applyAlignment="1">
      <alignment horizontal="center" vertical="center"/>
    </xf>
    <xf numFmtId="165" fontId="1" fillId="15" borderId="8" xfId="0" applyNumberFormat="1" applyFont="1" applyFill="1" applyBorder="1" applyAlignment="1">
      <alignment horizontal="center" vertical="center"/>
    </xf>
    <xf numFmtId="165" fontId="1" fillId="15" borderId="5" xfId="0" applyNumberFormat="1" applyFont="1" applyFill="1" applyBorder="1" applyAlignment="1">
      <alignment horizontal="center" vertical="center"/>
    </xf>
    <xf numFmtId="165" fontId="1" fillId="15" borderId="7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64" fontId="10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164" fontId="10" fillId="7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0" fillId="7" borderId="0" xfId="0" applyFill="1"/>
    <xf numFmtId="164" fontId="10" fillId="5" borderId="1" xfId="0" applyNumberFormat="1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164" fontId="10" fillId="16" borderId="1" xfId="0" applyNumberFormat="1" applyFont="1" applyFill="1" applyBorder="1" applyAlignment="1">
      <alignment horizontal="center" vertical="center"/>
    </xf>
    <xf numFmtId="164" fontId="10" fillId="17" borderId="1" xfId="0" applyNumberFormat="1" applyFon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 vertical="center"/>
    </xf>
    <xf numFmtId="0" fontId="0" fillId="16" borderId="0" xfId="0" applyFill="1"/>
    <xf numFmtId="0" fontId="0" fillId="18" borderId="0" xfId="0" applyFill="1"/>
    <xf numFmtId="164" fontId="2" fillId="2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10" fillId="3" borderId="0" xfId="0" applyFont="1" applyFill="1"/>
    <xf numFmtId="165" fontId="10" fillId="3" borderId="1" xfId="0" applyNumberFormat="1" applyFont="1" applyFill="1" applyBorder="1" applyAlignment="1">
      <alignment horizontal="center" vertical="center"/>
    </xf>
    <xf numFmtId="164" fontId="10" fillId="20" borderId="5" xfId="0" applyNumberFormat="1" applyFont="1" applyFill="1" applyBorder="1" applyAlignment="1">
      <alignment horizontal="center" vertical="center"/>
    </xf>
    <xf numFmtId="164" fontId="10" fillId="6" borderId="5" xfId="0" applyNumberFormat="1" applyFont="1" applyFill="1" applyBorder="1" applyAlignment="1">
      <alignment horizontal="center" vertical="center"/>
    </xf>
    <xf numFmtId="165" fontId="10" fillId="6" borderId="6" xfId="0" applyNumberFormat="1" applyFont="1" applyFill="1" applyBorder="1" applyAlignment="1">
      <alignment horizontal="center" vertical="center"/>
    </xf>
    <xf numFmtId="165" fontId="10" fillId="6" borderId="8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165" fontId="0" fillId="12" borderId="1" xfId="0" applyNumberFormat="1" applyFill="1" applyBorder="1" applyAlignment="1">
      <alignment horizontal="center" vertical="center"/>
    </xf>
    <xf numFmtId="165" fontId="0" fillId="20" borderId="1" xfId="0" applyNumberFormat="1" applyFill="1" applyBorder="1" applyAlignment="1">
      <alignment horizontal="center" vertical="center"/>
    </xf>
    <xf numFmtId="164" fontId="10" fillId="21" borderId="1" xfId="0" applyNumberFormat="1" applyFon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/>
    <xf numFmtId="0" fontId="10" fillId="4" borderId="0" xfId="0" applyFont="1" applyFill="1"/>
    <xf numFmtId="164" fontId="0" fillId="3" borderId="6" xfId="0" applyNumberForma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164" fontId="0" fillId="7" borderId="6" xfId="0" applyNumberForma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7" borderId="0" xfId="0" applyFont="1" applyFill="1"/>
    <xf numFmtId="164" fontId="10" fillId="9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20" borderId="1" xfId="0" applyNumberFormat="1" applyFont="1" applyFill="1" applyBorder="1" applyAlignment="1">
      <alignment horizontal="center" vertical="center"/>
    </xf>
    <xf numFmtId="165" fontId="1" fillId="1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center"/>
    </xf>
    <xf numFmtId="165" fontId="1" fillId="12" borderId="2" xfId="0" applyNumberFormat="1" applyFont="1" applyFill="1" applyBorder="1" applyAlignment="1">
      <alignment horizontal="center" vertical="center"/>
    </xf>
    <xf numFmtId="164" fontId="10" fillId="4" borderId="6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5" fontId="10" fillId="4" borderId="6" xfId="0" applyNumberFormat="1" applyFont="1" applyFill="1" applyBorder="1" applyAlignment="1">
      <alignment horizontal="center" vertical="center"/>
    </xf>
    <xf numFmtId="165" fontId="10" fillId="4" borderId="8" xfId="0" applyNumberFormat="1" applyFont="1" applyFill="1" applyBorder="1" applyAlignment="1">
      <alignment horizontal="center" vertical="center"/>
    </xf>
    <xf numFmtId="165" fontId="10" fillId="5" borderId="6" xfId="0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left" vertical="center"/>
    </xf>
    <xf numFmtId="165" fontId="10" fillId="16" borderId="1" xfId="0" applyNumberFormat="1" applyFont="1" applyFill="1" applyBorder="1" applyAlignment="1">
      <alignment horizontal="center" vertical="center"/>
    </xf>
    <xf numFmtId="0" fontId="10" fillId="16" borderId="1" xfId="0" applyFont="1" applyFill="1" applyBorder="1"/>
    <xf numFmtId="0" fontId="10" fillId="16" borderId="0" xfId="0" applyFont="1" applyFill="1"/>
    <xf numFmtId="165" fontId="0" fillId="22" borderId="1" xfId="0" applyNumberFormat="1" applyFill="1" applyBorder="1" applyAlignment="1">
      <alignment horizontal="center" vertical="center"/>
    </xf>
    <xf numFmtId="165" fontId="0" fillId="17" borderId="1" xfId="0" applyNumberFormat="1" applyFill="1" applyBorder="1" applyAlignment="1">
      <alignment horizontal="center" vertical="center"/>
    </xf>
    <xf numFmtId="164" fontId="0" fillId="16" borderId="6" xfId="0" applyNumberForma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164" fontId="10" fillId="14" borderId="1" xfId="0" applyNumberFormat="1" applyFon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165" fontId="10" fillId="14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/>
    <xf numFmtId="0" fontId="10" fillId="14" borderId="0" xfId="0" applyFont="1" applyFill="1"/>
    <xf numFmtId="0" fontId="10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164" fontId="10" fillId="7" borderId="2" xfId="0" applyNumberFormat="1" applyFont="1" applyFill="1" applyBorder="1" applyAlignment="1">
      <alignment horizontal="center" vertical="center"/>
    </xf>
    <xf numFmtId="164" fontId="10" fillId="8" borderId="2" xfId="0" applyNumberFormat="1" applyFont="1" applyFill="1" applyBorder="1" applyAlignment="1">
      <alignment horizontal="center" vertical="center"/>
    </xf>
    <xf numFmtId="164" fontId="0" fillId="7" borderId="17" xfId="0" applyNumberFormat="1" applyFill="1" applyBorder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/>
    <xf numFmtId="0" fontId="14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/>
    <xf numFmtId="0" fontId="0" fillId="14" borderId="0" xfId="0" applyFill="1"/>
    <xf numFmtId="0" fontId="14" fillId="14" borderId="4" xfId="0" applyFont="1" applyFill="1" applyBorder="1" applyAlignment="1">
      <alignment horizontal="center" vertical="center" wrapText="1"/>
    </xf>
    <xf numFmtId="0" fontId="14" fillId="14" borderId="2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14" fillId="16" borderId="4" xfId="0" applyFont="1" applyFill="1" applyBorder="1" applyAlignment="1">
      <alignment horizontal="center" vertical="center" wrapText="1"/>
    </xf>
    <xf numFmtId="0" fontId="14" fillId="16" borderId="2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2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9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165" fontId="10" fillId="5" borderId="5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165" fontId="0" fillId="23" borderId="1" xfId="0" applyNumberFormat="1" applyFill="1" applyBorder="1" applyAlignment="1">
      <alignment horizontal="center" vertical="center"/>
    </xf>
    <xf numFmtId="165" fontId="0" fillId="21" borderId="1" xfId="0" applyNumberFormat="1" applyFill="1" applyBorder="1" applyAlignment="1">
      <alignment horizontal="center" vertical="center"/>
    </xf>
    <xf numFmtId="164" fontId="0" fillId="13" borderId="6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7" borderId="4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165" fontId="10" fillId="16" borderId="2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5" fontId="1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65" fontId="1" fillId="20" borderId="6" xfId="0" applyNumberFormat="1" applyFont="1" applyFill="1" applyBorder="1" applyAlignment="1">
      <alignment horizontal="center" vertical="center"/>
    </xf>
    <xf numFmtId="165" fontId="1" fillId="20" borderId="8" xfId="0" applyNumberFormat="1" applyFont="1" applyFill="1" applyBorder="1" applyAlignment="1">
      <alignment horizontal="center" vertical="center"/>
    </xf>
    <xf numFmtId="164" fontId="1" fillId="20" borderId="1" xfId="0" applyNumberFormat="1" applyFont="1" applyFill="1" applyBorder="1" applyAlignment="1">
      <alignment horizontal="center" vertical="center"/>
    </xf>
    <xf numFmtId="20" fontId="1" fillId="20" borderId="6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5" fontId="1" fillId="20" borderId="5" xfId="0" applyNumberFormat="1" applyFont="1" applyFill="1" applyBorder="1" applyAlignment="1">
      <alignment horizontal="center" vertical="center"/>
    </xf>
    <xf numFmtId="165" fontId="1" fillId="20" borderId="7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165" fontId="1" fillId="3" borderId="8" xfId="0" applyNumberFormat="1" applyFont="1" applyFill="1" applyBorder="1" applyAlignment="1">
      <alignment horizontal="center" vertical="center"/>
    </xf>
    <xf numFmtId="164" fontId="1" fillId="20" borderId="5" xfId="0" applyNumberFormat="1" applyFont="1" applyFill="1" applyBorder="1" applyAlignment="1">
      <alignment horizontal="center" vertical="center"/>
    </xf>
    <xf numFmtId="20" fontId="1" fillId="20" borderId="5" xfId="0" applyNumberFormat="1" applyFont="1" applyFill="1" applyBorder="1" applyAlignment="1">
      <alignment horizontal="center" vertical="center"/>
    </xf>
    <xf numFmtId="20" fontId="1" fillId="20" borderId="10" xfId="0" applyNumberFormat="1" applyFont="1" applyFill="1" applyBorder="1" applyAlignment="1">
      <alignment horizontal="center" vertical="center"/>
    </xf>
    <xf numFmtId="165" fontId="1" fillId="20" borderId="11" xfId="0" applyNumberFormat="1" applyFont="1" applyFill="1" applyBorder="1" applyAlignment="1">
      <alignment horizontal="center" vertical="center"/>
    </xf>
    <xf numFmtId="165" fontId="1" fillId="20" borderId="10" xfId="0" applyNumberFormat="1" applyFont="1" applyFill="1" applyBorder="1" applyAlignment="1">
      <alignment horizontal="center" vertical="center"/>
    </xf>
    <xf numFmtId="165" fontId="1" fillId="20" borderId="9" xfId="0" applyNumberFormat="1" applyFont="1" applyFill="1" applyBorder="1" applyAlignment="1">
      <alignment horizontal="center" vertical="center"/>
    </xf>
    <xf numFmtId="165" fontId="1" fillId="20" borderId="12" xfId="0" applyNumberFormat="1" applyFont="1" applyFill="1" applyBorder="1" applyAlignment="1">
      <alignment horizontal="center" vertical="center"/>
    </xf>
    <xf numFmtId="165" fontId="1" fillId="20" borderId="14" xfId="0" applyNumberFormat="1" applyFont="1" applyFill="1" applyBorder="1" applyAlignment="1">
      <alignment horizontal="center" vertical="center"/>
    </xf>
    <xf numFmtId="165" fontId="1" fillId="20" borderId="15" xfId="0" applyNumberFormat="1" applyFont="1" applyFill="1" applyBorder="1" applyAlignment="1">
      <alignment horizontal="center" vertical="center"/>
    </xf>
    <xf numFmtId="20" fontId="1" fillId="20" borderId="9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165" fontId="1" fillId="3" borderId="22" xfId="0" applyNumberFormat="1" applyFont="1" applyFill="1" applyBorder="1" applyAlignment="1">
      <alignment horizontal="center" vertical="center"/>
    </xf>
    <xf numFmtId="165" fontId="1" fillId="20" borderId="22" xfId="0" applyNumberFormat="1" applyFont="1" applyFill="1" applyBorder="1" applyAlignment="1">
      <alignment horizontal="center" vertical="center"/>
    </xf>
    <xf numFmtId="165" fontId="1" fillId="12" borderId="22" xfId="0" applyNumberFormat="1" applyFont="1" applyFill="1" applyBorder="1" applyAlignment="1">
      <alignment horizontal="center" vertical="center"/>
    </xf>
    <xf numFmtId="165" fontId="1" fillId="12" borderId="23" xfId="0" applyNumberFormat="1" applyFont="1" applyFill="1" applyBorder="1" applyAlignment="1">
      <alignment horizontal="center" vertical="center"/>
    </xf>
    <xf numFmtId="165" fontId="1" fillId="7" borderId="22" xfId="0" applyNumberFormat="1" applyFont="1" applyFill="1" applyBorder="1" applyAlignment="1">
      <alignment horizontal="center" vertical="center"/>
    </xf>
    <xf numFmtId="165" fontId="1" fillId="4" borderId="22" xfId="0" applyNumberFormat="1" applyFont="1" applyFill="1" applyBorder="1" applyAlignment="1">
      <alignment horizontal="center" vertical="center"/>
    </xf>
    <xf numFmtId="165" fontId="1" fillId="4" borderId="2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0" fillId="16" borderId="17" xfId="0" applyFill="1" applyBorder="1" applyAlignment="1">
      <alignment horizontal="center"/>
    </xf>
    <xf numFmtId="20" fontId="0" fillId="16" borderId="2" xfId="0" applyNumberFormat="1" applyFill="1" applyBorder="1" applyAlignment="1">
      <alignment horizontal="center"/>
    </xf>
    <xf numFmtId="164" fontId="0" fillId="4" borderId="17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5" fontId="0" fillId="4" borderId="22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4" borderId="23" xfId="0" applyNumberFormat="1" applyFill="1" applyBorder="1" applyAlignment="1">
      <alignment horizontal="center" vertical="center"/>
    </xf>
    <xf numFmtId="164" fontId="1" fillId="13" borderId="1" xfId="0" applyNumberFormat="1" applyFont="1" applyFill="1" applyBorder="1" applyAlignment="1">
      <alignment horizontal="center" vertical="center"/>
    </xf>
    <xf numFmtId="164" fontId="1" fillId="23" borderId="6" xfId="0" applyNumberFormat="1" applyFont="1" applyFill="1" applyBorder="1" applyAlignment="1">
      <alignment horizontal="center" vertical="center"/>
    </xf>
    <xf numFmtId="166" fontId="1" fillId="23" borderId="6" xfId="0" applyNumberFormat="1" applyFont="1" applyFill="1" applyBorder="1" applyAlignment="1">
      <alignment horizontal="center" vertical="center"/>
    </xf>
    <xf numFmtId="166" fontId="1" fillId="23" borderId="8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64" fontId="1" fillId="24" borderId="6" xfId="0" applyNumberFormat="1" applyFont="1" applyFill="1" applyBorder="1" applyAlignment="1">
      <alignment horizontal="center" vertical="center"/>
    </xf>
    <xf numFmtId="165" fontId="1" fillId="9" borderId="5" xfId="0" applyNumberFormat="1" applyFont="1" applyFill="1" applyBorder="1" applyAlignment="1">
      <alignment horizontal="center" vertical="center"/>
    </xf>
    <xf numFmtId="165" fontId="1" fillId="9" borderId="7" xfId="0" applyNumberFormat="1" applyFont="1" applyFill="1" applyBorder="1" applyAlignment="1">
      <alignment horizontal="center" vertical="center"/>
    </xf>
    <xf numFmtId="164" fontId="1" fillId="9" borderId="6" xfId="0" applyNumberFormat="1" applyFont="1" applyFill="1" applyBorder="1" applyAlignment="1">
      <alignment horizontal="center" vertical="center"/>
    </xf>
    <xf numFmtId="165" fontId="1" fillId="9" borderId="6" xfId="0" applyNumberFormat="1" applyFont="1" applyFill="1" applyBorder="1" applyAlignment="1">
      <alignment horizontal="center" vertical="center"/>
    </xf>
    <xf numFmtId="165" fontId="1" fillId="9" borderId="8" xfId="0" applyNumberFormat="1" applyFont="1" applyFill="1" applyBorder="1" applyAlignment="1">
      <alignment horizontal="center" vertical="center"/>
    </xf>
    <xf numFmtId="166" fontId="1" fillId="9" borderId="5" xfId="0" applyNumberFormat="1" applyFont="1" applyFill="1" applyBorder="1" applyAlignment="1">
      <alignment horizontal="center" vertical="center"/>
    </xf>
    <xf numFmtId="166" fontId="1" fillId="9" borderId="7" xfId="0" applyNumberFormat="1" applyFont="1" applyFill="1" applyBorder="1" applyAlignment="1">
      <alignment horizontal="center" vertical="center"/>
    </xf>
    <xf numFmtId="164" fontId="1" fillId="25" borderId="6" xfId="0" applyNumberFormat="1" applyFont="1" applyFill="1" applyBorder="1" applyAlignment="1">
      <alignment horizontal="center" vertical="center"/>
    </xf>
    <xf numFmtId="165" fontId="1" fillId="6" borderId="5" xfId="0" applyNumberFormat="1" applyFont="1" applyFill="1" applyBorder="1" applyAlignment="1">
      <alignment horizontal="center" vertical="center"/>
    </xf>
    <xf numFmtId="165" fontId="1" fillId="6" borderId="7" xfId="0" applyNumberFormat="1" applyFont="1" applyFill="1" applyBorder="1" applyAlignment="1">
      <alignment horizontal="center" vertical="center"/>
    </xf>
    <xf numFmtId="164" fontId="1" fillId="6" borderId="6" xfId="0" applyNumberFormat="1" applyFont="1" applyFill="1" applyBorder="1" applyAlignment="1">
      <alignment horizontal="center" vertical="center"/>
    </xf>
    <xf numFmtId="165" fontId="1" fillId="6" borderId="6" xfId="0" applyNumberFormat="1" applyFont="1" applyFill="1" applyBorder="1" applyAlignment="1">
      <alignment horizontal="center" vertical="center"/>
    </xf>
    <xf numFmtId="165" fontId="1" fillId="6" borderId="8" xfId="0" applyNumberFormat="1" applyFont="1" applyFill="1" applyBorder="1" applyAlignment="1">
      <alignment horizontal="center" vertical="center"/>
    </xf>
    <xf numFmtId="166" fontId="1" fillId="6" borderId="5" xfId="0" applyNumberFormat="1" applyFont="1" applyFill="1" applyBorder="1" applyAlignment="1">
      <alignment horizontal="center" vertical="center"/>
    </xf>
    <xf numFmtId="166" fontId="1" fillId="6" borderId="7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justify" vertical="center" wrapText="1"/>
    </xf>
    <xf numFmtId="0" fontId="1" fillId="7" borderId="1" xfId="0" applyFont="1" applyFill="1" applyBorder="1" applyAlignment="1">
      <alignment horizontal="left" vertical="center" wrapText="1"/>
    </xf>
    <xf numFmtId="164" fontId="1" fillId="9" borderId="9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64" fontId="1" fillId="6" borderId="8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165" fontId="1" fillId="4" borderId="6" xfId="0" applyNumberFormat="1" applyFont="1" applyFill="1" applyBorder="1" applyAlignment="1">
      <alignment horizontal="center" vertical="center"/>
    </xf>
    <xf numFmtId="165" fontId="1" fillId="4" borderId="8" xfId="0" applyNumberFormat="1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165" fontId="1" fillId="4" borderId="5" xfId="0" applyNumberFormat="1" applyFont="1" applyFill="1" applyBorder="1" applyAlignment="1">
      <alignment horizontal="center" vertical="center"/>
    </xf>
    <xf numFmtId="165" fontId="1" fillId="6" borderId="20" xfId="0" applyNumberFormat="1" applyFont="1" applyFill="1" applyBorder="1" applyAlignment="1">
      <alignment horizontal="center" vertical="center"/>
    </xf>
    <xf numFmtId="165" fontId="1" fillId="4" borderId="7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165" fontId="1" fillId="11" borderId="6" xfId="0" applyNumberFormat="1" applyFont="1" applyFill="1" applyBorder="1" applyAlignment="1">
      <alignment horizontal="center" vertical="center"/>
    </xf>
    <xf numFmtId="165" fontId="1" fillId="11" borderId="8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4" fontId="1" fillId="7" borderId="6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165" fontId="1" fillId="20" borderId="17" xfId="0" applyNumberFormat="1" applyFont="1" applyFill="1" applyBorder="1" applyAlignment="1">
      <alignment horizontal="center" vertical="center"/>
    </xf>
    <xf numFmtId="165" fontId="1" fillId="9" borderId="17" xfId="0" applyNumberFormat="1" applyFont="1" applyFill="1" applyBorder="1" applyAlignment="1">
      <alignment horizontal="center" vertical="center"/>
    </xf>
    <xf numFmtId="165" fontId="1" fillId="11" borderId="7" xfId="0" applyNumberFormat="1" applyFont="1" applyFill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164" fontId="2" fillId="16" borderId="1" xfId="0" applyNumberFormat="1" applyFont="1" applyFill="1" applyBorder="1" applyAlignment="1">
      <alignment horizontal="center" vertical="center"/>
    </xf>
    <xf numFmtId="164" fontId="8" fillId="22" borderId="1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Border="1" applyAlignment="1">
      <alignment horizontal="center" vertical="center"/>
    </xf>
    <xf numFmtId="164" fontId="7" fillId="22" borderId="1" xfId="0" applyNumberFormat="1" applyFont="1" applyFill="1" applyBorder="1" applyAlignment="1">
      <alignment horizontal="center" vertical="center"/>
    </xf>
    <xf numFmtId="164" fontId="7" fillId="22" borderId="6" xfId="0" applyNumberFormat="1" applyFont="1" applyFill="1" applyBorder="1" applyAlignment="1">
      <alignment horizontal="center" vertical="center"/>
    </xf>
    <xf numFmtId="165" fontId="1" fillId="9" borderId="13" xfId="0" applyNumberFormat="1" applyFont="1" applyFill="1" applyBorder="1" applyAlignment="1">
      <alignment horizontal="center" vertical="center"/>
    </xf>
    <xf numFmtId="164" fontId="8" fillId="15" borderId="6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Border="1" applyAlignment="1">
      <alignment horizontal="center" vertical="center"/>
    </xf>
    <xf numFmtId="164" fontId="8" fillId="15" borderId="1" xfId="0" applyNumberFormat="1" applyFont="1" applyFill="1" applyBorder="1" applyAlignment="1">
      <alignment horizontal="center" vertical="center"/>
    </xf>
    <xf numFmtId="165" fontId="1" fillId="22" borderId="6" xfId="0" applyNumberFormat="1" applyFont="1" applyFill="1" applyBorder="1" applyAlignment="1">
      <alignment horizontal="center" vertical="center"/>
    </xf>
    <xf numFmtId="165" fontId="1" fillId="22" borderId="8" xfId="0" applyNumberFormat="1" applyFont="1" applyFill="1" applyBorder="1" applyAlignment="1">
      <alignment horizontal="center" vertical="center"/>
    </xf>
    <xf numFmtId="164" fontId="1" fillId="22" borderId="6" xfId="0" applyNumberFormat="1" applyFont="1" applyFill="1" applyBorder="1" applyAlignment="1">
      <alignment horizontal="center" vertical="center"/>
    </xf>
    <xf numFmtId="165" fontId="1" fillId="22" borderId="5" xfId="0" applyNumberFormat="1" applyFont="1" applyFill="1" applyBorder="1" applyAlignment="1">
      <alignment horizontal="center" vertical="center"/>
    </xf>
    <xf numFmtId="165" fontId="1" fillId="22" borderId="7" xfId="0" applyNumberFormat="1" applyFon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65" fontId="1" fillId="9" borderId="22" xfId="0" applyNumberFormat="1" applyFont="1" applyFill="1" applyBorder="1" applyAlignment="1">
      <alignment horizontal="center" vertical="center"/>
    </xf>
    <xf numFmtId="164" fontId="1" fillId="7" borderId="10" xfId="0" applyNumberFormat="1" applyFont="1" applyFill="1" applyBorder="1" applyAlignment="1">
      <alignment horizontal="center" vertical="center"/>
    </xf>
    <xf numFmtId="165" fontId="1" fillId="7" borderId="10" xfId="0" applyNumberFormat="1" applyFont="1" applyFill="1" applyBorder="1" applyAlignment="1">
      <alignment horizontal="center" vertical="center"/>
    </xf>
    <xf numFmtId="166" fontId="1" fillId="9" borderId="6" xfId="0" applyNumberFormat="1" applyFont="1" applyFill="1" applyBorder="1" applyAlignment="1">
      <alignment horizontal="center" vertical="center"/>
    </xf>
    <xf numFmtId="165" fontId="1" fillId="7" borderId="11" xfId="0" applyNumberFormat="1" applyFont="1" applyFill="1" applyBorder="1" applyAlignment="1">
      <alignment horizontal="center" vertical="center"/>
    </xf>
    <xf numFmtId="166" fontId="1" fillId="9" borderId="8" xfId="0" applyNumberFormat="1" applyFont="1" applyFill="1" applyBorder="1" applyAlignment="1">
      <alignment horizontal="center" vertical="center"/>
    </xf>
    <xf numFmtId="164" fontId="2" fillId="27" borderId="1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0" xfId="0" applyFont="1"/>
    <xf numFmtId="0" fontId="1" fillId="4" borderId="1" xfId="0" applyFont="1" applyFill="1" applyBorder="1" applyAlignment="1">
      <alignment horizontal="justify" vertical="center" wrapText="1"/>
    </xf>
    <xf numFmtId="164" fontId="1" fillId="6" borderId="1" xfId="0" applyNumberFormat="1" applyFont="1" applyFill="1" applyBorder="1" applyAlignment="1">
      <alignment horizontal="center" vertical="center"/>
    </xf>
    <xf numFmtId="165" fontId="1" fillId="6" borderId="18" xfId="0" applyNumberFormat="1" applyFont="1" applyFill="1" applyBorder="1" applyAlignment="1">
      <alignment horizontal="center" vertical="center"/>
    </xf>
    <xf numFmtId="165" fontId="1" fillId="6" borderId="19" xfId="0" applyNumberFormat="1" applyFont="1" applyFill="1" applyBorder="1" applyAlignment="1">
      <alignment horizontal="center" vertical="center"/>
    </xf>
    <xf numFmtId="164" fontId="1" fillId="6" borderId="9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164" fontId="1" fillId="22" borderId="1" xfId="0" applyNumberFormat="1" applyFont="1" applyFill="1" applyBorder="1" applyAlignment="1">
      <alignment horizontal="center" vertical="center"/>
    </xf>
    <xf numFmtId="164" fontId="1" fillId="22" borderId="9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justify" vertical="center" wrapText="1"/>
    </xf>
    <xf numFmtId="0" fontId="1" fillId="16" borderId="1" xfId="0" applyFont="1" applyFill="1" applyBorder="1" applyAlignment="1">
      <alignment horizontal="left" vertical="center" wrapText="1"/>
    </xf>
    <xf numFmtId="164" fontId="1" fillId="16" borderId="1" xfId="0" applyNumberFormat="1" applyFont="1" applyFill="1" applyBorder="1" applyAlignment="1">
      <alignment horizontal="center" vertical="center"/>
    </xf>
    <xf numFmtId="164" fontId="1" fillId="26" borderId="6" xfId="0" applyNumberFormat="1" applyFont="1" applyFill="1" applyBorder="1" applyAlignment="1">
      <alignment horizontal="center" vertical="center"/>
    </xf>
    <xf numFmtId="166" fontId="1" fillId="22" borderId="5" xfId="0" applyNumberFormat="1" applyFont="1" applyFill="1" applyBorder="1" applyAlignment="1">
      <alignment horizontal="center" vertical="center"/>
    </xf>
    <xf numFmtId="166" fontId="1" fillId="22" borderId="7" xfId="0" applyNumberFormat="1" applyFont="1" applyFill="1" applyBorder="1" applyAlignment="1">
      <alignment horizontal="center" vertical="center"/>
    </xf>
    <xf numFmtId="165" fontId="1" fillId="16" borderId="6" xfId="0" applyNumberFormat="1" applyFont="1" applyFill="1" applyBorder="1" applyAlignment="1">
      <alignment horizontal="center" vertical="center"/>
    </xf>
    <xf numFmtId="165" fontId="1" fillId="16" borderId="8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left" vertical="center" wrapText="1"/>
    </xf>
    <xf numFmtId="165" fontId="1" fillId="27" borderId="5" xfId="0" applyNumberFormat="1" applyFont="1" applyFill="1" applyBorder="1" applyAlignment="1">
      <alignment horizontal="center" vertical="center"/>
    </xf>
    <xf numFmtId="165" fontId="1" fillId="27" borderId="7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1" xfId="0" applyFont="1" applyBorder="1"/>
    <xf numFmtId="164" fontId="9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164" fontId="9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164" fontId="9" fillId="7" borderId="1" xfId="0" applyNumberFormat="1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/>
    <xf numFmtId="164" fontId="9" fillId="10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/>
    <xf numFmtId="164" fontId="9" fillId="16" borderId="1" xfId="0" applyNumberFormat="1" applyFont="1" applyFill="1" applyBorder="1" applyAlignment="1">
      <alignment horizontal="center" vertical="center"/>
    </xf>
    <xf numFmtId="164" fontId="5" fillId="16" borderId="1" xfId="0" applyNumberFormat="1" applyFont="1" applyFill="1" applyBorder="1" applyAlignment="1">
      <alignment horizontal="center" vertical="center"/>
    </xf>
    <xf numFmtId="165" fontId="5" fillId="1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/>
    <xf numFmtId="164" fontId="9" fillId="13" borderId="1" xfId="0" applyNumberFormat="1" applyFont="1" applyFill="1" applyBorder="1" applyAlignment="1">
      <alignment horizontal="center" vertical="center"/>
    </xf>
    <xf numFmtId="165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/>
    <xf numFmtId="164" fontId="5" fillId="1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4" borderId="1" xfId="0" applyFont="1" applyFill="1" applyBorder="1"/>
    <xf numFmtId="0" fontId="9" fillId="0" borderId="0" xfId="0" applyFont="1"/>
    <xf numFmtId="0" fontId="9" fillId="10" borderId="1" xfId="0" applyFont="1" applyFill="1" applyBorder="1"/>
    <xf numFmtId="164" fontId="9" fillId="3" borderId="1" xfId="0" applyNumberFormat="1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left" vertical="center"/>
    </xf>
    <xf numFmtId="164" fontId="9" fillId="10" borderId="1" xfId="0" applyNumberFormat="1" applyFont="1" applyFill="1" applyBorder="1" applyAlignment="1">
      <alignment horizontal="left" vertical="center"/>
    </xf>
    <xf numFmtId="164" fontId="9" fillId="16" borderId="1" xfId="0" applyNumberFormat="1" applyFont="1" applyFill="1" applyBorder="1" applyAlignment="1">
      <alignment horizontal="left" vertical="center"/>
    </xf>
    <xf numFmtId="164" fontId="9" fillId="13" borderId="1" xfId="0" applyNumberFormat="1" applyFont="1" applyFill="1" applyBorder="1" applyAlignment="1">
      <alignment horizontal="left" vertical="center"/>
    </xf>
    <xf numFmtId="165" fontId="9" fillId="13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/>
    <xf numFmtId="164" fontId="9" fillId="18" borderId="1" xfId="0" applyNumberFormat="1" applyFont="1" applyFill="1" applyBorder="1" applyAlignment="1">
      <alignment horizontal="center" vertical="center"/>
    </xf>
    <xf numFmtId="164" fontId="9" fillId="19" borderId="1" xfId="0" applyNumberFormat="1" applyFont="1" applyFill="1" applyBorder="1" applyAlignment="1">
      <alignment horizontal="center" vertical="center"/>
    </xf>
    <xf numFmtId="164" fontId="5" fillId="18" borderId="1" xfId="0" applyNumberFormat="1" applyFont="1" applyFill="1" applyBorder="1" applyAlignment="1">
      <alignment horizontal="center" vertical="center"/>
    </xf>
    <xf numFmtId="165" fontId="5" fillId="18" borderId="1" xfId="0" applyNumberFormat="1" applyFont="1" applyFill="1" applyBorder="1" applyAlignment="1">
      <alignment horizontal="center" vertical="center"/>
    </xf>
    <xf numFmtId="165" fontId="5" fillId="19" borderId="1" xfId="0" applyNumberFormat="1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/>
    <xf numFmtId="164" fontId="9" fillId="3" borderId="26" xfId="0" applyNumberFormat="1" applyFont="1" applyFill="1" applyBorder="1" applyAlignment="1">
      <alignment horizontal="center" vertical="center"/>
    </xf>
    <xf numFmtId="165" fontId="9" fillId="3" borderId="26" xfId="0" applyNumberFormat="1" applyFont="1" applyFill="1" applyBorder="1" applyAlignment="1">
      <alignment horizontal="center" vertical="center"/>
    </xf>
    <xf numFmtId="165" fontId="5" fillId="3" borderId="26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0" fontId="5" fillId="16" borderId="28" xfId="0" applyFont="1" applyFill="1" applyBorder="1" applyAlignment="1">
      <alignment horizontal="center" vertical="center"/>
    </xf>
    <xf numFmtId="0" fontId="5" fillId="13" borderId="28" xfId="0" applyFont="1" applyFill="1" applyBorder="1" applyAlignment="1">
      <alignment horizontal="center" vertical="center"/>
    </xf>
    <xf numFmtId="164" fontId="9" fillId="13" borderId="31" xfId="0" applyNumberFormat="1" applyFont="1" applyFill="1" applyBorder="1" applyAlignment="1">
      <alignment horizontal="center" vertical="center"/>
    </xf>
    <xf numFmtId="164" fontId="5" fillId="13" borderId="31" xfId="0" applyNumberFormat="1" applyFont="1" applyFill="1" applyBorder="1" applyAlignment="1">
      <alignment horizontal="center" vertical="center"/>
    </xf>
    <xf numFmtId="165" fontId="5" fillId="13" borderId="31" xfId="0" applyNumberFormat="1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9" fillId="10" borderId="28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164" fontId="9" fillId="3" borderId="28" xfId="0" applyNumberFormat="1" applyFont="1" applyFill="1" applyBorder="1" applyAlignment="1">
      <alignment horizontal="center" vertical="center"/>
    </xf>
    <xf numFmtId="164" fontId="9" fillId="4" borderId="28" xfId="0" applyNumberFormat="1" applyFont="1" applyFill="1" applyBorder="1" applyAlignment="1">
      <alignment horizontal="center" vertical="center"/>
    </xf>
    <xf numFmtId="164" fontId="9" fillId="7" borderId="28" xfId="0" applyNumberFormat="1" applyFont="1" applyFill="1" applyBorder="1" applyAlignment="1">
      <alignment horizontal="center" vertical="center"/>
    </xf>
    <xf numFmtId="164" fontId="9" fillId="10" borderId="28" xfId="0" applyNumberFormat="1" applyFont="1" applyFill="1" applyBorder="1" applyAlignment="1">
      <alignment horizontal="center" vertical="center"/>
    </xf>
    <xf numFmtId="164" fontId="9" fillId="16" borderId="28" xfId="0" applyNumberFormat="1" applyFont="1" applyFill="1" applyBorder="1" applyAlignment="1">
      <alignment horizontal="center" vertical="center"/>
    </xf>
    <xf numFmtId="164" fontId="9" fillId="13" borderId="28" xfId="0" applyNumberFormat="1" applyFont="1" applyFill="1" applyBorder="1" applyAlignment="1">
      <alignment horizontal="center" vertical="center"/>
    </xf>
    <xf numFmtId="164" fontId="9" fillId="13" borderId="30" xfId="0" applyNumberFormat="1" applyFont="1" applyFill="1" applyBorder="1" applyAlignment="1">
      <alignment horizontal="center" vertical="center"/>
    </xf>
    <xf numFmtId="164" fontId="9" fillId="13" borderId="31" xfId="0" applyNumberFormat="1" applyFont="1" applyFill="1" applyBorder="1" applyAlignment="1">
      <alignment horizontal="left" vertical="center"/>
    </xf>
    <xf numFmtId="165" fontId="9" fillId="13" borderId="31" xfId="0" applyNumberFormat="1" applyFont="1" applyFill="1" applyBorder="1" applyAlignment="1">
      <alignment horizontal="center" vertical="center"/>
    </xf>
    <xf numFmtId="0" fontId="5" fillId="18" borderId="25" xfId="0" applyFont="1" applyFill="1" applyBorder="1" applyAlignment="1">
      <alignment horizontal="center" vertical="center"/>
    </xf>
    <xf numFmtId="0" fontId="5" fillId="18" borderId="26" xfId="0" applyFont="1" applyFill="1" applyBorder="1"/>
    <xf numFmtId="164" fontId="9" fillId="18" borderId="26" xfId="0" applyNumberFormat="1" applyFont="1" applyFill="1" applyBorder="1" applyAlignment="1">
      <alignment horizontal="center" vertical="center"/>
    </xf>
    <xf numFmtId="164" fontId="9" fillId="19" borderId="26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5" fontId="5" fillId="18" borderId="26" xfId="0" applyNumberFormat="1" applyFont="1" applyFill="1" applyBorder="1" applyAlignment="1">
      <alignment horizontal="center" vertical="center"/>
    </xf>
    <xf numFmtId="0" fontId="5" fillId="18" borderId="28" xfId="0" applyFont="1" applyFill="1" applyBorder="1" applyAlignment="1">
      <alignment horizontal="center" vertical="center"/>
    </xf>
    <xf numFmtId="0" fontId="5" fillId="18" borderId="30" xfId="0" applyFont="1" applyFill="1" applyBorder="1" applyAlignment="1">
      <alignment horizontal="center" vertical="center"/>
    </xf>
    <xf numFmtId="0" fontId="5" fillId="18" borderId="31" xfId="0" applyFont="1" applyFill="1" applyBorder="1"/>
    <xf numFmtId="164" fontId="9" fillId="18" borderId="31" xfId="0" applyNumberFormat="1" applyFont="1" applyFill="1" applyBorder="1" applyAlignment="1">
      <alignment horizontal="center" vertical="center"/>
    </xf>
    <xf numFmtId="164" fontId="9" fillId="19" borderId="31" xfId="0" applyNumberFormat="1" applyFont="1" applyFill="1" applyBorder="1" applyAlignment="1">
      <alignment horizontal="center" vertical="center"/>
    </xf>
    <xf numFmtId="164" fontId="5" fillId="18" borderId="31" xfId="0" applyNumberFormat="1" applyFont="1" applyFill="1" applyBorder="1" applyAlignment="1">
      <alignment horizontal="center" vertical="center"/>
    </xf>
    <xf numFmtId="165" fontId="5" fillId="19" borderId="31" xfId="0" applyNumberFormat="1" applyFont="1" applyFill="1" applyBorder="1" applyAlignment="1">
      <alignment horizontal="center" vertical="center"/>
    </xf>
    <xf numFmtId="165" fontId="5" fillId="18" borderId="3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1" fillId="0" borderId="28" xfId="0" applyNumberFormat="1" applyFont="1" applyBorder="1" applyAlignment="1">
      <alignment horizontal="center" vertical="center" wrapText="1"/>
    </xf>
    <xf numFmtId="20" fontId="11" fillId="0" borderId="30" xfId="0" applyNumberFormat="1" applyFont="1" applyBorder="1" applyAlignment="1">
      <alignment horizontal="center" vertical="center" wrapText="1"/>
    </xf>
    <xf numFmtId="20" fontId="11" fillId="0" borderId="42" xfId="0" applyNumberFormat="1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1" fillId="10" borderId="22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20" fontId="11" fillId="18" borderId="28" xfId="0" applyNumberFormat="1" applyFont="1" applyFill="1" applyBorder="1" applyAlignment="1">
      <alignment horizontal="center" vertical="center" wrapText="1"/>
    </xf>
    <xf numFmtId="0" fontId="11" fillId="18" borderId="29" xfId="0" applyFont="1" applyFill="1" applyBorder="1" applyAlignment="1">
      <alignment horizontal="center" vertical="center" wrapText="1"/>
    </xf>
    <xf numFmtId="20" fontId="11" fillId="0" borderId="46" xfId="0" applyNumberFormat="1" applyFont="1" applyBorder="1" applyAlignment="1">
      <alignment vertical="center" wrapText="1"/>
    </xf>
    <xf numFmtId="20" fontId="11" fillId="0" borderId="44" xfId="0" applyNumberFormat="1" applyFont="1" applyBorder="1" applyAlignment="1">
      <alignment vertical="center" wrapText="1"/>
    </xf>
    <xf numFmtId="20" fontId="11" fillId="0" borderId="51" xfId="0" applyNumberFormat="1" applyFont="1" applyBorder="1" applyAlignment="1">
      <alignment horizontal="center" vertical="center" wrapText="1"/>
    </xf>
    <xf numFmtId="20" fontId="11" fillId="0" borderId="52" xfId="0" applyNumberFormat="1" applyFont="1" applyBorder="1" applyAlignment="1">
      <alignment horizontal="center" vertical="center" wrapText="1"/>
    </xf>
    <xf numFmtId="20" fontId="11" fillId="0" borderId="53" xfId="0" applyNumberFormat="1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28" borderId="35" xfId="0" applyFont="1" applyFill="1" applyBorder="1" applyAlignment="1">
      <alignment horizontal="center" vertical="center" wrapText="1"/>
    </xf>
    <xf numFmtId="0" fontId="11" fillId="28" borderId="59" xfId="0" applyFont="1" applyFill="1" applyBorder="1" applyAlignment="1">
      <alignment horizontal="center" vertical="center" wrapText="1"/>
    </xf>
    <xf numFmtId="0" fontId="11" fillId="28" borderId="39" xfId="0" applyFont="1" applyFill="1" applyBorder="1" applyAlignment="1">
      <alignment horizontal="center" vertical="center" wrapText="1"/>
    </xf>
    <xf numFmtId="0" fontId="11" fillId="28" borderId="38" xfId="0" applyFont="1" applyFill="1" applyBorder="1" applyAlignment="1">
      <alignment horizontal="center" vertical="center" wrapText="1"/>
    </xf>
    <xf numFmtId="0" fontId="11" fillId="28" borderId="41" xfId="0" applyFont="1" applyFill="1" applyBorder="1" applyAlignment="1">
      <alignment horizontal="center" vertical="center" wrapText="1"/>
    </xf>
    <xf numFmtId="0" fontId="11" fillId="28" borderId="40" xfId="0" applyFont="1" applyFill="1" applyBorder="1" applyAlignment="1">
      <alignment horizontal="center" vertical="center" wrapText="1"/>
    </xf>
    <xf numFmtId="0" fontId="11" fillId="28" borderId="48" xfId="0" applyFont="1" applyFill="1" applyBorder="1" applyAlignment="1">
      <alignment horizontal="center" vertical="center" wrapText="1"/>
    </xf>
    <xf numFmtId="0" fontId="19" fillId="28" borderId="40" xfId="0" applyFont="1" applyFill="1" applyBorder="1" applyAlignment="1">
      <alignment horizontal="center" vertical="center" wrapText="1"/>
    </xf>
    <xf numFmtId="0" fontId="11" fillId="28" borderId="33" xfId="0" applyFont="1" applyFill="1" applyBorder="1" applyAlignment="1">
      <alignment horizontal="center" vertical="center" wrapText="1"/>
    </xf>
    <xf numFmtId="20" fontId="11" fillId="10" borderId="28" xfId="0" applyNumberFormat="1" applyFont="1" applyFill="1" applyBorder="1" applyAlignment="1">
      <alignment horizontal="center" wrapText="1"/>
    </xf>
    <xf numFmtId="0" fontId="11" fillId="16" borderId="29" xfId="0" applyFont="1" applyFill="1" applyBorder="1" applyAlignment="1">
      <alignment horizontal="center" vertical="center" wrapText="1"/>
    </xf>
    <xf numFmtId="20" fontId="11" fillId="4" borderId="1" xfId="0" applyNumberFormat="1" applyFont="1" applyFill="1" applyBorder="1" applyAlignment="1">
      <alignment horizontal="center" vertical="center" wrapText="1"/>
    </xf>
    <xf numFmtId="0" fontId="13" fillId="0" borderId="55" xfId="0" applyFont="1" applyBorder="1" applyAlignment="1">
      <alignment vertical="center" wrapText="1"/>
    </xf>
    <xf numFmtId="20" fontId="11" fillId="0" borderId="28" xfId="0" applyNumberFormat="1" applyFont="1" applyBorder="1" applyAlignment="1">
      <alignment vertical="center" wrapText="1"/>
    </xf>
    <xf numFmtId="0" fontId="11" fillId="0" borderId="57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20" fontId="11" fillId="4" borderId="1" xfId="0" applyNumberFormat="1" applyFont="1" applyFill="1" applyBorder="1" applyAlignment="1">
      <alignment vertical="center" wrapText="1"/>
    </xf>
    <xf numFmtId="20" fontId="11" fillId="10" borderId="42" xfId="0" applyNumberFormat="1" applyFont="1" applyFill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45" xfId="0" applyFont="1" applyBorder="1" applyAlignment="1">
      <alignment vertical="center" wrapText="1"/>
    </xf>
    <xf numFmtId="0" fontId="11" fillId="0" borderId="54" xfId="0" applyFont="1" applyBorder="1" applyAlignment="1">
      <alignment vertical="center" wrapText="1"/>
    </xf>
    <xf numFmtId="20" fontId="11" fillId="0" borderId="24" xfId="0" applyNumberFormat="1" applyFont="1" applyBorder="1" applyAlignment="1">
      <alignment vertical="center" wrapText="1"/>
    </xf>
    <xf numFmtId="20" fontId="11" fillId="0" borderId="36" xfId="0" applyNumberFormat="1" applyFont="1" applyBorder="1" applyAlignment="1">
      <alignment vertical="center" wrapText="1"/>
    </xf>
    <xf numFmtId="20" fontId="11" fillId="10" borderId="28" xfId="0" applyNumberFormat="1" applyFont="1" applyFill="1" applyBorder="1" applyAlignment="1">
      <alignment horizontal="center" vertical="center" wrapText="1"/>
    </xf>
    <xf numFmtId="20" fontId="11" fillId="16" borderId="28" xfId="0" applyNumberFormat="1" applyFont="1" applyFill="1" applyBorder="1" applyAlignment="1">
      <alignment horizontal="center" vertical="center" wrapText="1"/>
    </xf>
    <xf numFmtId="20" fontId="11" fillId="0" borderId="1" xfId="0" applyNumberFormat="1" applyFont="1" applyBorder="1" applyAlignment="1">
      <alignment vertical="center" wrapText="1"/>
    </xf>
    <xf numFmtId="0" fontId="19" fillId="0" borderId="45" xfId="0" applyFont="1" applyBorder="1" applyAlignment="1">
      <alignment vertical="center" wrapText="1"/>
    </xf>
    <xf numFmtId="20" fontId="11" fillId="0" borderId="64" xfId="0" applyNumberFormat="1" applyFont="1" applyBorder="1" applyAlignment="1">
      <alignment vertical="center" wrapText="1"/>
    </xf>
    <xf numFmtId="20" fontId="11" fillId="0" borderId="24" xfId="0" applyNumberFormat="1" applyFont="1" applyBorder="1" applyAlignment="1">
      <alignment horizontal="center" vertical="center" wrapText="1"/>
    </xf>
    <xf numFmtId="20" fontId="11" fillId="0" borderId="66" xfId="0" applyNumberFormat="1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3" borderId="1" xfId="0" applyFont="1" applyFill="1" applyBorder="1" applyAlignment="1">
      <alignment horizontal="left" vertical="center"/>
    </xf>
    <xf numFmtId="0" fontId="5" fillId="13" borderId="25" xfId="0" applyFont="1" applyFill="1" applyBorder="1" applyAlignment="1">
      <alignment horizontal="center" vertical="center"/>
    </xf>
    <xf numFmtId="164" fontId="9" fillId="16" borderId="30" xfId="0" applyNumberFormat="1" applyFont="1" applyFill="1" applyBorder="1" applyAlignment="1">
      <alignment horizontal="center" vertical="center"/>
    </xf>
    <xf numFmtId="0" fontId="5" fillId="13" borderId="26" xfId="0" applyFont="1" applyFill="1" applyBorder="1"/>
    <xf numFmtId="164" fontId="9" fillId="16" borderId="31" xfId="0" applyNumberFormat="1" applyFont="1" applyFill="1" applyBorder="1" applyAlignment="1">
      <alignment horizontal="left" vertical="center"/>
    </xf>
    <xf numFmtId="164" fontId="9" fillId="13" borderId="26" xfId="0" applyNumberFormat="1" applyFont="1" applyFill="1" applyBorder="1" applyAlignment="1">
      <alignment horizontal="center" vertical="center"/>
    </xf>
    <xf numFmtId="164" fontId="9" fillId="16" borderId="31" xfId="0" applyNumberFormat="1" applyFont="1" applyFill="1" applyBorder="1" applyAlignment="1">
      <alignment horizontal="center" vertical="center"/>
    </xf>
    <xf numFmtId="164" fontId="5" fillId="13" borderId="26" xfId="0" applyNumberFormat="1" applyFont="1" applyFill="1" applyBorder="1" applyAlignment="1">
      <alignment horizontal="center" vertical="center"/>
    </xf>
    <xf numFmtId="164" fontId="5" fillId="16" borderId="31" xfId="0" applyNumberFormat="1" applyFont="1" applyFill="1" applyBorder="1" applyAlignment="1">
      <alignment horizontal="center" vertical="center"/>
    </xf>
    <xf numFmtId="165" fontId="5" fillId="13" borderId="26" xfId="0" applyNumberFormat="1" applyFont="1" applyFill="1" applyBorder="1" applyAlignment="1">
      <alignment horizontal="center" vertical="center"/>
    </xf>
    <xf numFmtId="165" fontId="5" fillId="16" borderId="31" xfId="0" applyNumberFormat="1" applyFont="1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164" fontId="13" fillId="18" borderId="41" xfId="0" applyNumberFormat="1" applyFont="1" applyFill="1" applyBorder="1" applyAlignment="1">
      <alignment horizontal="center" vertical="center"/>
    </xf>
    <xf numFmtId="164" fontId="13" fillId="18" borderId="68" xfId="0" applyNumberFormat="1" applyFont="1" applyFill="1" applyBorder="1" applyAlignment="1">
      <alignment horizontal="left" vertical="center"/>
    </xf>
    <xf numFmtId="164" fontId="13" fillId="18" borderId="68" xfId="0" applyNumberFormat="1" applyFont="1" applyFill="1" applyBorder="1" applyAlignment="1">
      <alignment horizontal="center" vertical="center"/>
    </xf>
    <xf numFmtId="164" fontId="13" fillId="19" borderId="68" xfId="0" applyNumberFormat="1" applyFont="1" applyFill="1" applyBorder="1" applyAlignment="1">
      <alignment horizontal="center" vertical="center"/>
    </xf>
    <xf numFmtId="164" fontId="11" fillId="19" borderId="68" xfId="0" applyNumberFormat="1" applyFont="1" applyFill="1" applyBorder="1" applyAlignment="1">
      <alignment horizontal="center" vertical="center"/>
    </xf>
    <xf numFmtId="164" fontId="13" fillId="31" borderId="68" xfId="0" applyNumberFormat="1" applyFont="1" applyFill="1" applyBorder="1" applyAlignment="1">
      <alignment horizontal="center" vertical="center"/>
    </xf>
    <xf numFmtId="164" fontId="13" fillId="31" borderId="69" xfId="0" applyNumberFormat="1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left" vertical="center"/>
    </xf>
    <xf numFmtId="0" fontId="5" fillId="3" borderId="26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0" fillId="3" borderId="28" xfId="0" applyFill="1" applyBorder="1" applyAlignment="1">
      <alignment horizontal="center" vertical="center"/>
    </xf>
    <xf numFmtId="164" fontId="9" fillId="3" borderId="30" xfId="0" applyNumberFormat="1" applyFont="1" applyFill="1" applyBorder="1" applyAlignment="1">
      <alignment horizontal="center" vertical="center"/>
    </xf>
    <xf numFmtId="164" fontId="9" fillId="3" borderId="31" xfId="0" applyNumberFormat="1" applyFont="1" applyFill="1" applyBorder="1" applyAlignment="1">
      <alignment horizontal="left" vertical="center"/>
    </xf>
    <xf numFmtId="164" fontId="9" fillId="3" borderId="31" xfId="0" applyNumberFormat="1" applyFont="1" applyFill="1" applyBorder="1" applyAlignment="1">
      <alignment horizontal="center" vertical="center"/>
    </xf>
    <xf numFmtId="165" fontId="5" fillId="3" borderId="31" xfId="0" applyNumberFormat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/>
    <xf numFmtId="164" fontId="9" fillId="4" borderId="26" xfId="0" applyNumberFormat="1" applyFont="1" applyFill="1" applyBorder="1" applyAlignment="1">
      <alignment horizontal="center" vertical="center"/>
    </xf>
    <xf numFmtId="164" fontId="5" fillId="4" borderId="26" xfId="0" applyNumberFormat="1" applyFont="1" applyFill="1" applyBorder="1" applyAlignment="1">
      <alignment horizontal="center" vertical="center"/>
    </xf>
    <xf numFmtId="165" fontId="5" fillId="4" borderId="26" xfId="0" applyNumberFormat="1" applyFont="1" applyFill="1" applyBorder="1" applyAlignment="1">
      <alignment horizontal="center" vertical="center"/>
    </xf>
    <xf numFmtId="164" fontId="9" fillId="4" borderId="30" xfId="0" applyNumberFormat="1" applyFont="1" applyFill="1" applyBorder="1" applyAlignment="1">
      <alignment horizontal="center" vertical="center"/>
    </xf>
    <xf numFmtId="164" fontId="9" fillId="4" borderId="31" xfId="0" applyNumberFormat="1" applyFont="1" applyFill="1" applyBorder="1" applyAlignment="1">
      <alignment horizontal="left" vertical="center"/>
    </xf>
    <xf numFmtId="164" fontId="9" fillId="4" borderId="31" xfId="0" applyNumberFormat="1" applyFont="1" applyFill="1" applyBorder="1" applyAlignment="1">
      <alignment horizontal="center" vertical="center"/>
    </xf>
    <xf numFmtId="164" fontId="5" fillId="4" borderId="31" xfId="0" applyNumberFormat="1" applyFont="1" applyFill="1" applyBorder="1" applyAlignment="1">
      <alignment horizontal="center" vertical="center"/>
    </xf>
    <xf numFmtId="165" fontId="5" fillId="4" borderId="31" xfId="0" applyNumberFormat="1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31" xfId="0" applyFont="1" applyFill="1" applyBorder="1" applyAlignment="1">
      <alignment horizontal="center"/>
    </xf>
    <xf numFmtId="0" fontId="5" fillId="4" borderId="32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center" vertical="center"/>
    </xf>
    <xf numFmtId="0" fontId="5" fillId="7" borderId="26" xfId="0" applyFont="1" applyFill="1" applyBorder="1"/>
    <xf numFmtId="164" fontId="9" fillId="7" borderId="26" xfId="0" applyNumberFormat="1" applyFont="1" applyFill="1" applyBorder="1" applyAlignment="1">
      <alignment horizontal="center" vertical="center"/>
    </xf>
    <xf numFmtId="164" fontId="5" fillId="7" borderId="26" xfId="0" applyNumberFormat="1" applyFont="1" applyFill="1" applyBorder="1" applyAlignment="1">
      <alignment horizontal="center" vertical="center"/>
    </xf>
    <xf numFmtId="165" fontId="5" fillId="7" borderId="26" xfId="0" applyNumberFormat="1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left" vertical="center"/>
    </xf>
    <xf numFmtId="0" fontId="5" fillId="7" borderId="26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164" fontId="9" fillId="7" borderId="30" xfId="0" applyNumberFormat="1" applyFont="1" applyFill="1" applyBorder="1" applyAlignment="1">
      <alignment horizontal="center" vertical="center"/>
    </xf>
    <xf numFmtId="164" fontId="9" fillId="7" borderId="31" xfId="0" applyNumberFormat="1" applyFont="1" applyFill="1" applyBorder="1" applyAlignment="1">
      <alignment horizontal="left" vertical="center"/>
    </xf>
    <xf numFmtId="164" fontId="9" fillId="7" borderId="31" xfId="0" applyNumberFormat="1" applyFont="1" applyFill="1" applyBorder="1" applyAlignment="1">
      <alignment horizontal="center" vertical="center"/>
    </xf>
    <xf numFmtId="164" fontId="5" fillId="7" borderId="31" xfId="0" applyNumberFormat="1" applyFont="1" applyFill="1" applyBorder="1" applyAlignment="1">
      <alignment horizontal="center" vertical="center"/>
    </xf>
    <xf numFmtId="165" fontId="5" fillId="7" borderId="31" xfId="0" applyNumberFormat="1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/>
    <xf numFmtId="164" fontId="9" fillId="10" borderId="26" xfId="0" applyNumberFormat="1" applyFont="1" applyFill="1" applyBorder="1" applyAlignment="1">
      <alignment horizontal="center" vertical="center"/>
    </xf>
    <xf numFmtId="164" fontId="5" fillId="10" borderId="26" xfId="0" applyNumberFormat="1" applyFont="1" applyFill="1" applyBorder="1" applyAlignment="1">
      <alignment horizontal="center" vertical="center"/>
    </xf>
    <xf numFmtId="165" fontId="5" fillId="10" borderId="26" xfId="0" applyNumberFormat="1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left" vertical="center"/>
    </xf>
    <xf numFmtId="164" fontId="15" fillId="10" borderId="30" xfId="0" applyNumberFormat="1" applyFont="1" applyFill="1" applyBorder="1" applyAlignment="1">
      <alignment horizontal="center" vertical="center"/>
    </xf>
    <xf numFmtId="164" fontId="9" fillId="10" borderId="31" xfId="0" applyNumberFormat="1" applyFont="1" applyFill="1" applyBorder="1" applyAlignment="1">
      <alignment horizontal="left" vertical="center"/>
    </xf>
    <xf numFmtId="164" fontId="9" fillId="10" borderId="31" xfId="0" applyNumberFormat="1" applyFont="1" applyFill="1" applyBorder="1" applyAlignment="1">
      <alignment horizontal="center" vertical="center"/>
    </xf>
    <xf numFmtId="164" fontId="5" fillId="10" borderId="31" xfId="0" applyNumberFormat="1" applyFont="1" applyFill="1" applyBorder="1" applyAlignment="1">
      <alignment horizontal="center" vertical="center"/>
    </xf>
    <xf numFmtId="165" fontId="9" fillId="10" borderId="31" xfId="0" applyNumberFormat="1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/>
    </xf>
    <xf numFmtId="0" fontId="5" fillId="10" borderId="27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0" borderId="29" xfId="0" applyFont="1" applyFill="1" applyBorder="1" applyAlignment="1">
      <alignment horizontal="center"/>
    </xf>
    <xf numFmtId="165" fontId="5" fillId="10" borderId="31" xfId="0" applyNumberFormat="1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/>
    </xf>
    <xf numFmtId="0" fontId="5" fillId="10" borderId="32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16" borderId="25" xfId="0" applyFont="1" applyFill="1" applyBorder="1" applyAlignment="1">
      <alignment horizontal="center" vertical="center"/>
    </xf>
    <xf numFmtId="0" fontId="5" fillId="16" borderId="26" xfId="0" applyFont="1" applyFill="1" applyBorder="1"/>
    <xf numFmtId="164" fontId="9" fillId="16" borderId="26" xfId="0" applyNumberFormat="1" applyFont="1" applyFill="1" applyBorder="1" applyAlignment="1">
      <alignment horizontal="center" vertical="center"/>
    </xf>
    <xf numFmtId="164" fontId="5" fillId="16" borderId="26" xfId="0" applyNumberFormat="1" applyFont="1" applyFill="1" applyBorder="1" applyAlignment="1">
      <alignment horizontal="center" vertical="center"/>
    </xf>
    <xf numFmtId="165" fontId="5" fillId="16" borderId="26" xfId="0" applyNumberFormat="1" applyFont="1" applyFill="1" applyBorder="1" applyAlignment="1">
      <alignment horizontal="center" vertical="center"/>
    </xf>
    <xf numFmtId="0" fontId="9" fillId="16" borderId="26" xfId="0" applyFont="1" applyFill="1" applyBorder="1" applyAlignment="1">
      <alignment horizontal="left" vertical="center"/>
    </xf>
    <xf numFmtId="0" fontId="5" fillId="16" borderId="26" xfId="0" applyFont="1" applyFill="1" applyBorder="1" applyAlignment="1">
      <alignment horizontal="center"/>
    </xf>
    <xf numFmtId="0" fontId="5" fillId="16" borderId="27" xfId="0" applyFont="1" applyFill="1" applyBorder="1" applyAlignment="1">
      <alignment horizontal="center"/>
    </xf>
    <xf numFmtId="0" fontId="5" fillId="16" borderId="29" xfId="0" applyFont="1" applyFill="1" applyBorder="1" applyAlignment="1">
      <alignment horizontal="center"/>
    </xf>
    <xf numFmtId="0" fontId="5" fillId="16" borderId="31" xfId="0" applyFont="1" applyFill="1" applyBorder="1" applyAlignment="1">
      <alignment horizontal="center"/>
    </xf>
    <xf numFmtId="0" fontId="5" fillId="16" borderId="32" xfId="0" applyFont="1" applyFill="1" applyBorder="1" applyAlignment="1">
      <alignment horizontal="center"/>
    </xf>
    <xf numFmtId="0" fontId="9" fillId="13" borderId="26" xfId="0" applyFont="1" applyFill="1" applyBorder="1" applyAlignment="1">
      <alignment horizontal="left" vertical="center"/>
    </xf>
    <xf numFmtId="0" fontId="5" fillId="13" borderId="26" xfId="0" applyFont="1" applyFill="1" applyBorder="1" applyAlignment="1">
      <alignment horizontal="center"/>
    </xf>
    <xf numFmtId="0" fontId="5" fillId="13" borderId="27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3" borderId="29" xfId="0" applyFont="1" applyFill="1" applyBorder="1" applyAlignment="1">
      <alignment horizontal="center"/>
    </xf>
    <xf numFmtId="0" fontId="5" fillId="13" borderId="31" xfId="0" applyFont="1" applyFill="1" applyBorder="1" applyAlignment="1">
      <alignment horizontal="center"/>
    </xf>
    <xf numFmtId="0" fontId="5" fillId="13" borderId="32" xfId="0" applyFont="1" applyFill="1" applyBorder="1" applyAlignment="1">
      <alignment horizontal="center"/>
    </xf>
    <xf numFmtId="0" fontId="0" fillId="18" borderId="26" xfId="0" applyFill="1" applyBorder="1" applyAlignment="1">
      <alignment horizontal="left" vertical="center"/>
    </xf>
    <xf numFmtId="0" fontId="5" fillId="18" borderId="27" xfId="0" applyFont="1" applyFill="1" applyBorder="1"/>
    <xf numFmtId="0" fontId="5" fillId="18" borderId="29" xfId="0" applyFont="1" applyFill="1" applyBorder="1"/>
    <xf numFmtId="0" fontId="0" fillId="18" borderId="31" xfId="0" applyFill="1" applyBorder="1" applyAlignment="1">
      <alignment horizontal="left" vertical="center"/>
    </xf>
    <xf numFmtId="0" fontId="5" fillId="18" borderId="32" xfId="0" applyFont="1" applyFill="1" applyBorder="1"/>
    <xf numFmtId="0" fontId="5" fillId="0" borderId="0" xfId="1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20" fontId="11" fillId="13" borderId="46" xfId="0" applyNumberFormat="1" applyFont="1" applyFill="1" applyBorder="1" applyAlignment="1">
      <alignment horizontal="center" vertical="center" wrapText="1"/>
    </xf>
    <xf numFmtId="20" fontId="11" fillId="13" borderId="42" xfId="0" applyNumberFormat="1" applyFont="1" applyFill="1" applyBorder="1" applyAlignment="1">
      <alignment horizontal="center" vertical="center" wrapText="1"/>
    </xf>
    <xf numFmtId="20" fontId="11" fillId="13" borderId="44" xfId="0" applyNumberFormat="1" applyFont="1" applyFill="1" applyBorder="1" applyAlignment="1">
      <alignment horizontal="center" vertical="center" wrapText="1"/>
    </xf>
    <xf numFmtId="0" fontId="11" fillId="13" borderId="47" xfId="0" applyFont="1" applyFill="1" applyBorder="1" applyAlignment="1">
      <alignment horizontal="center" vertical="center" wrapText="1"/>
    </xf>
    <xf numFmtId="0" fontId="11" fillId="13" borderId="43" xfId="0" applyFont="1" applyFill="1" applyBorder="1" applyAlignment="1">
      <alignment horizontal="center" vertical="center" wrapText="1"/>
    </xf>
    <xf numFmtId="0" fontId="11" fillId="13" borderId="45" xfId="0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 wrapText="1"/>
    </xf>
    <xf numFmtId="0" fontId="13" fillId="10" borderId="45" xfId="0" applyFont="1" applyFill="1" applyBorder="1" applyAlignment="1">
      <alignment horizontal="center" vertical="center" wrapText="1"/>
    </xf>
    <xf numFmtId="20" fontId="11" fillId="13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20" fontId="11" fillId="10" borderId="46" xfId="0" applyNumberFormat="1" applyFont="1" applyFill="1" applyBorder="1" applyAlignment="1">
      <alignment horizontal="center" vertical="center" wrapText="1"/>
    </xf>
    <xf numFmtId="20" fontId="11" fillId="10" borderId="44" xfId="0" applyNumberFormat="1" applyFont="1" applyFill="1" applyBorder="1" applyAlignment="1">
      <alignment horizontal="center" vertical="center" wrapText="1"/>
    </xf>
    <xf numFmtId="20" fontId="11" fillId="3" borderId="48" xfId="0" applyNumberFormat="1" applyFont="1" applyFill="1" applyBorder="1" applyAlignment="1">
      <alignment horizontal="center" vertical="center" wrapText="1"/>
    </xf>
    <xf numFmtId="20" fontId="11" fillId="3" borderId="44" xfId="0" applyNumberFormat="1" applyFont="1" applyFill="1" applyBorder="1" applyAlignment="1">
      <alignment horizontal="center" vertical="center" wrapText="1"/>
    </xf>
    <xf numFmtId="0" fontId="19" fillId="3" borderId="63" xfId="0" applyFont="1" applyFill="1" applyBorder="1" applyAlignment="1">
      <alignment horizontal="center" vertical="center" wrapText="1"/>
    </xf>
    <xf numFmtId="0" fontId="19" fillId="3" borderId="34" xfId="0" applyFont="1" applyFill="1" applyBorder="1" applyAlignment="1">
      <alignment horizontal="center" vertical="center" wrapText="1"/>
    </xf>
    <xf numFmtId="20" fontId="11" fillId="4" borderId="46" xfId="0" applyNumberFormat="1" applyFont="1" applyFill="1" applyBorder="1" applyAlignment="1">
      <alignment horizontal="center" vertical="center" wrapText="1"/>
    </xf>
    <xf numFmtId="20" fontId="11" fillId="4" borderId="44" xfId="0" applyNumberFormat="1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0" fontId="11" fillId="30" borderId="62" xfId="0" applyFont="1" applyFill="1" applyBorder="1" applyAlignment="1">
      <alignment horizontal="center" vertical="center" wrapText="1"/>
    </xf>
    <xf numFmtId="0" fontId="11" fillId="30" borderId="37" xfId="0" applyFont="1" applyFill="1" applyBorder="1" applyAlignment="1">
      <alignment horizontal="center" vertical="center" wrapText="1"/>
    </xf>
    <xf numFmtId="0" fontId="11" fillId="30" borderId="21" xfId="0" applyFont="1" applyFill="1" applyBorder="1" applyAlignment="1">
      <alignment horizontal="center" vertical="center" wrapText="1"/>
    </xf>
    <xf numFmtId="0" fontId="11" fillId="4" borderId="47" xfId="0" applyFont="1" applyFill="1" applyBorder="1" applyAlignment="1">
      <alignment horizontal="center" vertical="center" wrapText="1"/>
    </xf>
    <xf numFmtId="0" fontId="11" fillId="4" borderId="45" xfId="0" applyFont="1" applyFill="1" applyBorder="1" applyAlignment="1">
      <alignment horizontal="center" vertical="center" wrapText="1"/>
    </xf>
    <xf numFmtId="0" fontId="11" fillId="29" borderId="60" xfId="0" applyFont="1" applyFill="1" applyBorder="1" applyAlignment="1">
      <alignment horizontal="center" vertical="center"/>
    </xf>
    <xf numFmtId="0" fontId="11" fillId="29" borderId="50" xfId="0" applyFont="1" applyFill="1" applyBorder="1" applyAlignment="1">
      <alignment horizontal="center" vertical="center"/>
    </xf>
    <xf numFmtId="0" fontId="11" fillId="29" borderId="61" xfId="0" applyFont="1" applyFill="1" applyBorder="1" applyAlignment="1">
      <alignment horizontal="center" vertical="center"/>
    </xf>
    <xf numFmtId="20" fontId="11" fillId="30" borderId="48" xfId="0" applyNumberFormat="1" applyFont="1" applyFill="1" applyBorder="1" applyAlignment="1">
      <alignment horizontal="center" vertical="center" wrapText="1"/>
    </xf>
    <xf numFmtId="20" fontId="11" fillId="30" borderId="44" xfId="0" applyNumberFormat="1" applyFont="1" applyFill="1" applyBorder="1" applyAlignment="1">
      <alignment horizontal="center" vertical="center" wrapText="1"/>
    </xf>
    <xf numFmtId="0" fontId="11" fillId="30" borderId="49" xfId="0" applyFont="1" applyFill="1" applyBorder="1" applyAlignment="1">
      <alignment horizontal="center" vertical="center" wrapText="1"/>
    </xf>
    <xf numFmtId="0" fontId="11" fillId="30" borderId="45" xfId="0" applyFont="1" applyFill="1" applyBorder="1" applyAlignment="1">
      <alignment horizontal="center" vertical="center" wrapText="1"/>
    </xf>
    <xf numFmtId="20" fontId="11" fillId="7" borderId="48" xfId="0" applyNumberFormat="1" applyFont="1" applyFill="1" applyBorder="1" applyAlignment="1">
      <alignment horizontal="center" vertical="center" wrapText="1"/>
    </xf>
    <xf numFmtId="20" fontId="11" fillId="7" borderId="44" xfId="0" applyNumberFormat="1" applyFont="1" applyFill="1" applyBorder="1" applyAlignment="1">
      <alignment horizontal="center" vertical="center" wrapText="1"/>
    </xf>
    <xf numFmtId="0" fontId="13" fillId="7" borderId="56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 wrapText="1"/>
    </xf>
    <xf numFmtId="20" fontId="11" fillId="4" borderId="48" xfId="0" applyNumberFormat="1" applyFont="1" applyFill="1" applyBorder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20" fontId="11" fillId="30" borderId="2" xfId="0" applyNumberFormat="1" applyFont="1" applyFill="1" applyBorder="1" applyAlignment="1">
      <alignment horizontal="center" vertical="center" wrapText="1"/>
    </xf>
    <xf numFmtId="20" fontId="11" fillId="30" borderId="3" xfId="0" applyNumberFormat="1" applyFont="1" applyFill="1" applyBorder="1" applyAlignment="1">
      <alignment horizontal="center" vertical="center" wrapText="1"/>
    </xf>
    <xf numFmtId="20" fontId="11" fillId="30" borderId="4" xfId="0" applyNumberFormat="1" applyFont="1" applyFill="1" applyBorder="1" applyAlignment="1">
      <alignment horizontal="center" vertical="center" wrapText="1"/>
    </xf>
    <xf numFmtId="20" fontId="11" fillId="3" borderId="46" xfId="0" applyNumberFormat="1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20" fontId="11" fillId="18" borderId="46" xfId="0" applyNumberFormat="1" applyFont="1" applyFill="1" applyBorder="1" applyAlignment="1">
      <alignment horizontal="center" vertical="center" wrapText="1"/>
    </xf>
    <xf numFmtId="20" fontId="11" fillId="18" borderId="44" xfId="0" applyNumberFormat="1" applyFont="1" applyFill="1" applyBorder="1" applyAlignment="1">
      <alignment horizontal="center" vertical="center" wrapText="1"/>
    </xf>
    <xf numFmtId="0" fontId="11" fillId="18" borderId="47" xfId="0" applyFont="1" applyFill="1" applyBorder="1" applyAlignment="1">
      <alignment horizontal="center" vertical="center" wrapText="1"/>
    </xf>
    <xf numFmtId="0" fontId="11" fillId="18" borderId="45" xfId="0" applyFont="1" applyFill="1" applyBorder="1" applyAlignment="1">
      <alignment horizontal="center" vertical="center" wrapText="1"/>
    </xf>
    <xf numFmtId="20" fontId="11" fillId="16" borderId="46" xfId="0" applyNumberFormat="1" applyFont="1" applyFill="1" applyBorder="1" applyAlignment="1">
      <alignment horizontal="center" vertical="center" wrapText="1"/>
    </xf>
    <xf numFmtId="20" fontId="11" fillId="16" borderId="44" xfId="0" applyNumberFormat="1" applyFont="1" applyFill="1" applyBorder="1" applyAlignment="1">
      <alignment horizontal="center" vertical="center" wrapText="1"/>
    </xf>
    <xf numFmtId="0" fontId="13" fillId="16" borderId="47" xfId="0" applyFont="1" applyFill="1" applyBorder="1" applyAlignment="1">
      <alignment horizontal="center" vertical="center" wrapText="1"/>
    </xf>
    <xf numFmtId="0" fontId="13" fillId="16" borderId="45" xfId="0" applyFont="1" applyFill="1" applyBorder="1" applyAlignment="1">
      <alignment horizontal="center" vertical="center" wrapText="1"/>
    </xf>
    <xf numFmtId="20" fontId="11" fillId="7" borderId="46" xfId="0" applyNumberFormat="1" applyFont="1" applyFill="1" applyBorder="1" applyAlignment="1">
      <alignment horizontal="center" vertical="center" wrapText="1"/>
    </xf>
    <xf numFmtId="20" fontId="11" fillId="7" borderId="42" xfId="0" applyNumberFormat="1" applyFont="1" applyFill="1" applyBorder="1" applyAlignment="1">
      <alignment horizontal="center" vertical="center" wrapText="1"/>
    </xf>
    <xf numFmtId="20" fontId="11" fillId="13" borderId="28" xfId="0" applyNumberFormat="1" applyFont="1" applyFill="1" applyBorder="1" applyAlignment="1">
      <alignment horizontal="center" vertical="center" wrapText="1"/>
    </xf>
    <xf numFmtId="20" fontId="11" fillId="0" borderId="28" xfId="0" applyNumberFormat="1" applyFont="1" applyBorder="1" applyAlignment="1">
      <alignment horizontal="center" vertical="center" wrapText="1"/>
    </xf>
    <xf numFmtId="20" fontId="11" fillId="0" borderId="30" xfId="0" applyNumberFormat="1" applyFont="1" applyBorder="1" applyAlignment="1">
      <alignment horizontal="center" vertical="center" wrapText="1"/>
    </xf>
    <xf numFmtId="0" fontId="11" fillId="30" borderId="43" xfId="0" applyFont="1" applyFill="1" applyBorder="1" applyAlignment="1">
      <alignment horizontal="center" vertical="center" wrapText="1"/>
    </xf>
    <xf numFmtId="0" fontId="11" fillId="30" borderId="67" xfId="0" applyFont="1" applyFill="1" applyBorder="1" applyAlignment="1">
      <alignment horizontal="center" vertical="center" wrapText="1"/>
    </xf>
    <xf numFmtId="0" fontId="19" fillId="3" borderId="49" xfId="0" applyFont="1" applyFill="1" applyBorder="1" applyAlignment="1">
      <alignment horizontal="center" vertical="center" wrapText="1"/>
    </xf>
    <xf numFmtId="0" fontId="19" fillId="3" borderId="45" xfId="0" applyFont="1" applyFill="1" applyBorder="1" applyAlignment="1">
      <alignment horizontal="center" vertical="center" wrapText="1"/>
    </xf>
    <xf numFmtId="20" fontId="11" fillId="3" borderId="24" xfId="0" applyNumberFormat="1" applyFont="1" applyFill="1" applyBorder="1" applyAlignment="1">
      <alignment horizontal="center" vertical="center" wrapText="1"/>
    </xf>
    <xf numFmtId="20" fontId="11" fillId="0" borderId="36" xfId="0" applyNumberFormat="1" applyFont="1" applyBorder="1" applyAlignment="1">
      <alignment horizontal="center" vertical="center" wrapText="1"/>
    </xf>
    <xf numFmtId="20" fontId="11" fillId="0" borderId="65" xfId="0" applyNumberFormat="1" applyFont="1" applyBorder="1" applyAlignment="1">
      <alignment horizontal="center" vertical="center" wrapText="1"/>
    </xf>
    <xf numFmtId="20" fontId="11" fillId="3" borderId="64" xfId="0" applyNumberFormat="1" applyFont="1" applyFill="1" applyBorder="1" applyAlignment="1">
      <alignment horizontal="center" vertical="center" wrapText="1"/>
    </xf>
    <xf numFmtId="20" fontId="11" fillId="3" borderId="65" xfId="0" applyNumberFormat="1" applyFont="1" applyFill="1" applyBorder="1" applyAlignment="1">
      <alignment horizontal="center" vertical="center" wrapText="1"/>
    </xf>
    <xf numFmtId="20" fontId="11" fillId="0" borderId="46" xfId="0" applyNumberFormat="1" applyFont="1" applyBorder="1" applyAlignment="1">
      <alignment horizontal="center" vertical="center" wrapText="1"/>
    </xf>
    <xf numFmtId="20" fontId="11" fillId="0" borderId="44" xfId="0" applyNumberFormat="1" applyFont="1" applyBorder="1" applyAlignment="1">
      <alignment horizontal="center" vertical="center" wrapText="1"/>
    </xf>
    <xf numFmtId="20" fontId="11" fillId="0" borderId="48" xfId="0" applyNumberFormat="1" applyFont="1" applyBorder="1" applyAlignment="1">
      <alignment horizontal="center" vertical="center" wrapText="1"/>
    </xf>
    <xf numFmtId="20" fontId="11" fillId="10" borderId="42" xfId="0" applyNumberFormat="1" applyFont="1" applyFill="1" applyBorder="1" applyAlignment="1">
      <alignment horizontal="center" vertical="center" wrapText="1"/>
    </xf>
    <xf numFmtId="20" fontId="11" fillId="13" borderId="48" xfId="0" applyNumberFormat="1" applyFont="1" applyFill="1" applyBorder="1" applyAlignment="1">
      <alignment horizontal="center" vertical="center" wrapText="1"/>
    </xf>
    <xf numFmtId="0" fontId="11" fillId="13" borderId="49" xfId="0" applyFont="1" applyFill="1" applyBorder="1" applyAlignment="1">
      <alignment horizontal="center" vertical="center" wrapText="1"/>
    </xf>
    <xf numFmtId="20" fontId="11" fillId="4" borderId="42" xfId="0" applyNumberFormat="1" applyFont="1" applyFill="1" applyBorder="1" applyAlignment="1">
      <alignment horizontal="center" vertical="center" wrapText="1"/>
    </xf>
    <xf numFmtId="0" fontId="11" fillId="4" borderId="43" xfId="0" applyFont="1" applyFill="1" applyBorder="1" applyAlignment="1">
      <alignment horizontal="center" vertical="center" wrapText="1"/>
    </xf>
    <xf numFmtId="20" fontId="11" fillId="4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27C0238-45FE-4AC2-8DCD-C6FF90A9FC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8B8A-E2B4-474E-9F77-ED26560270CC}">
  <dimension ref="A1:AS112"/>
  <sheetViews>
    <sheetView tabSelected="1" zoomScale="160" zoomScaleNormal="160" workbookViewId="0">
      <pane xSplit="3" topLeftCell="D1" activePane="topRight" state="frozen"/>
      <selection pane="topRight" activeCell="G10" sqref="G10"/>
    </sheetView>
  </sheetViews>
  <sheetFormatPr baseColWidth="10" defaultRowHeight="15" x14ac:dyDescent="0.25"/>
  <cols>
    <col min="1" max="1" width="5.85546875" customWidth="1"/>
    <col min="2" max="2" width="28.85546875" customWidth="1"/>
    <col min="3" max="3" width="8.140625" customWidth="1"/>
    <col min="4" max="4" width="6.85546875" customWidth="1"/>
    <col min="5" max="5" width="10.5703125" customWidth="1"/>
    <col min="6" max="6" width="9.140625" customWidth="1"/>
    <col min="7" max="7" width="9" customWidth="1"/>
    <col min="8" max="8" width="8.5703125" bestFit="1" customWidth="1"/>
    <col min="9" max="9" width="30.140625" customWidth="1"/>
    <col min="10" max="10" width="10.42578125" customWidth="1"/>
    <col min="11" max="11" width="6" style="164" bestFit="1" customWidth="1"/>
    <col min="12" max="12" width="6.5703125" style="164" bestFit="1" customWidth="1"/>
    <col min="13" max="13" width="7" style="164" bestFit="1" customWidth="1"/>
    <col min="14" max="14" width="7" style="164" customWidth="1"/>
    <col min="15" max="15" width="6" style="164" bestFit="1" customWidth="1"/>
  </cols>
  <sheetData>
    <row r="1" spans="1:45" s="47" customFormat="1" ht="12.75" x14ac:dyDescent="0.2">
      <c r="A1" s="46" t="s">
        <v>122</v>
      </c>
      <c r="K1" s="472"/>
      <c r="L1" s="472"/>
      <c r="M1" s="472"/>
      <c r="N1" s="472"/>
      <c r="O1" s="472"/>
    </row>
    <row r="2" spans="1:45" s="47" customFormat="1" ht="12.75" x14ac:dyDescent="0.2">
      <c r="A2" s="46" t="s">
        <v>123</v>
      </c>
      <c r="K2" s="473">
        <v>75</v>
      </c>
      <c r="L2" s="473">
        <v>35</v>
      </c>
      <c r="M2" s="473">
        <v>35</v>
      </c>
      <c r="N2" s="472"/>
      <c r="O2" s="472"/>
    </row>
    <row r="3" spans="1:45" s="47" customFormat="1" ht="13.5" thickBot="1" x14ac:dyDescent="0.25">
      <c r="A3" s="46"/>
      <c r="K3" s="473">
        <v>40</v>
      </c>
      <c r="L3" s="473">
        <v>40</v>
      </c>
      <c r="M3" s="473">
        <v>40</v>
      </c>
      <c r="N3" s="473">
        <v>40</v>
      </c>
      <c r="O3" s="472"/>
    </row>
    <row r="4" spans="1:45" s="46" customFormat="1" ht="13.5" thickBot="1" x14ac:dyDescent="0.25">
      <c r="A4" s="492" t="s">
        <v>19</v>
      </c>
      <c r="B4" s="493" t="s">
        <v>11</v>
      </c>
      <c r="C4" s="494" t="s">
        <v>0</v>
      </c>
      <c r="D4" s="495" t="s">
        <v>18</v>
      </c>
      <c r="E4" s="496" t="s">
        <v>2</v>
      </c>
      <c r="F4" s="496" t="s">
        <v>37</v>
      </c>
      <c r="G4" s="496" t="s">
        <v>38</v>
      </c>
      <c r="H4" s="496" t="s">
        <v>105</v>
      </c>
      <c r="I4" s="493" t="s">
        <v>3</v>
      </c>
      <c r="J4" s="493" t="s">
        <v>154</v>
      </c>
      <c r="K4" s="497" t="s">
        <v>113</v>
      </c>
      <c r="L4" s="497" t="s">
        <v>114</v>
      </c>
      <c r="M4" s="497" t="s">
        <v>115</v>
      </c>
      <c r="N4" s="497" t="s">
        <v>160</v>
      </c>
      <c r="O4" s="498" t="s">
        <v>41</v>
      </c>
    </row>
    <row r="5" spans="1:45" x14ac:dyDescent="0.25">
      <c r="A5" s="371">
        <v>1</v>
      </c>
      <c r="B5" s="372" t="s">
        <v>99</v>
      </c>
      <c r="C5" s="373" t="s">
        <v>4</v>
      </c>
      <c r="D5" s="373" t="s">
        <v>102</v>
      </c>
      <c r="E5" s="373" t="s">
        <v>13</v>
      </c>
      <c r="F5" s="374">
        <v>0.33333333333333331</v>
      </c>
      <c r="G5" s="374">
        <v>0.41666666666666669</v>
      </c>
      <c r="H5" s="375">
        <f t="shared" ref="H5:H36" si="0">G5-F5</f>
        <v>8.333333333333337E-2</v>
      </c>
      <c r="I5" s="499" t="s">
        <v>155</v>
      </c>
      <c r="J5" s="499"/>
      <c r="K5" s="500">
        <v>20</v>
      </c>
      <c r="L5" s="500">
        <v>13</v>
      </c>
      <c r="M5" s="500">
        <v>13</v>
      </c>
      <c r="N5" s="500">
        <v>13</v>
      </c>
      <c r="O5" s="501">
        <f t="shared" ref="O5:O36" si="1">SUM(K5:N5)</f>
        <v>59</v>
      </c>
    </row>
    <row r="6" spans="1:45" x14ac:dyDescent="0.25">
      <c r="A6" s="376">
        <v>1</v>
      </c>
      <c r="B6" s="333" t="s">
        <v>99</v>
      </c>
      <c r="C6" s="330" t="s">
        <v>4</v>
      </c>
      <c r="D6" s="330" t="s">
        <v>103</v>
      </c>
      <c r="E6" s="331" t="s">
        <v>17</v>
      </c>
      <c r="F6" s="332">
        <v>0.33333333333333331</v>
      </c>
      <c r="G6" s="332">
        <v>0.5</v>
      </c>
      <c r="H6" s="332">
        <f t="shared" si="0"/>
        <v>0.16666666666666669</v>
      </c>
      <c r="I6" s="474" t="s">
        <v>155</v>
      </c>
      <c r="J6" s="474"/>
      <c r="K6" s="491">
        <v>20</v>
      </c>
      <c r="L6" s="491">
        <v>13</v>
      </c>
      <c r="M6" s="491">
        <v>13</v>
      </c>
      <c r="N6" s="491">
        <v>13</v>
      </c>
      <c r="O6" s="502">
        <f t="shared" si="1"/>
        <v>59</v>
      </c>
    </row>
    <row r="7" spans="1:45" x14ac:dyDescent="0.25">
      <c r="A7" s="376">
        <v>1</v>
      </c>
      <c r="B7" s="333" t="s">
        <v>98</v>
      </c>
      <c r="C7" s="330" t="s">
        <v>4</v>
      </c>
      <c r="D7" s="330" t="s">
        <v>102</v>
      </c>
      <c r="E7" s="331" t="s">
        <v>15</v>
      </c>
      <c r="F7" s="332">
        <v>0.33333333333333331</v>
      </c>
      <c r="G7" s="332">
        <v>0.41666666666666669</v>
      </c>
      <c r="H7" s="332">
        <f t="shared" si="0"/>
        <v>8.333333333333337E-2</v>
      </c>
      <c r="I7" s="474" t="s">
        <v>156</v>
      </c>
      <c r="J7" s="474"/>
      <c r="K7" s="491">
        <v>20</v>
      </c>
      <c r="L7" s="491">
        <v>13</v>
      </c>
      <c r="M7" s="491">
        <v>13</v>
      </c>
      <c r="N7" s="491">
        <v>0</v>
      </c>
      <c r="O7" s="502">
        <f t="shared" si="1"/>
        <v>46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</row>
    <row r="8" spans="1:45" x14ac:dyDescent="0.25">
      <c r="A8" s="376">
        <v>1</v>
      </c>
      <c r="B8" s="333" t="s">
        <v>98</v>
      </c>
      <c r="C8" s="330" t="s">
        <v>4</v>
      </c>
      <c r="D8" s="330" t="s">
        <v>103</v>
      </c>
      <c r="E8" s="331" t="s">
        <v>15</v>
      </c>
      <c r="F8" s="332">
        <v>0.41666666666666669</v>
      </c>
      <c r="G8" s="332">
        <v>0.5</v>
      </c>
      <c r="H8" s="332">
        <f t="shared" si="0"/>
        <v>8.3333333333333315E-2</v>
      </c>
      <c r="I8" s="474" t="s">
        <v>156</v>
      </c>
      <c r="J8" s="474"/>
      <c r="K8" s="491">
        <v>20</v>
      </c>
      <c r="L8" s="491">
        <v>13</v>
      </c>
      <c r="M8" s="491">
        <v>13</v>
      </c>
      <c r="N8" s="491">
        <v>0</v>
      </c>
      <c r="O8" s="502">
        <f t="shared" si="1"/>
        <v>46</v>
      </c>
    </row>
    <row r="9" spans="1:45" x14ac:dyDescent="0.25">
      <c r="A9" s="376">
        <v>1</v>
      </c>
      <c r="B9" s="333" t="s">
        <v>98</v>
      </c>
      <c r="C9" s="330" t="s">
        <v>4</v>
      </c>
      <c r="D9" s="330" t="s">
        <v>104</v>
      </c>
      <c r="E9" s="331" t="s">
        <v>15</v>
      </c>
      <c r="F9" s="332">
        <v>0.5</v>
      </c>
      <c r="G9" s="332">
        <v>0.58333333333333337</v>
      </c>
      <c r="H9" s="332">
        <f t="shared" si="0"/>
        <v>8.333333333333337E-2</v>
      </c>
      <c r="I9" s="474" t="s">
        <v>156</v>
      </c>
      <c r="J9" s="474"/>
      <c r="K9" s="491">
        <v>20</v>
      </c>
      <c r="L9" s="491">
        <v>13</v>
      </c>
      <c r="M9" s="491">
        <v>13</v>
      </c>
      <c r="N9" s="491">
        <v>0</v>
      </c>
      <c r="O9" s="502">
        <f t="shared" si="1"/>
        <v>46</v>
      </c>
    </row>
    <row r="10" spans="1:45" x14ac:dyDescent="0.25">
      <c r="A10" s="503">
        <v>1</v>
      </c>
      <c r="B10" s="333" t="s">
        <v>12</v>
      </c>
      <c r="C10" s="330" t="s">
        <v>4</v>
      </c>
      <c r="D10" s="330" t="s">
        <v>102</v>
      </c>
      <c r="E10" s="331" t="s">
        <v>14</v>
      </c>
      <c r="F10" s="332">
        <v>0.33333333333333331</v>
      </c>
      <c r="G10" s="332">
        <v>0.41666666666666669</v>
      </c>
      <c r="H10" s="332">
        <f t="shared" si="0"/>
        <v>8.333333333333337E-2</v>
      </c>
      <c r="I10" s="474" t="s">
        <v>158</v>
      </c>
      <c r="J10" s="474"/>
      <c r="K10" s="491">
        <v>20</v>
      </c>
      <c r="L10" s="491">
        <v>13</v>
      </c>
      <c r="M10" s="491">
        <v>13</v>
      </c>
      <c r="N10" s="491">
        <v>13</v>
      </c>
      <c r="O10" s="502">
        <f t="shared" si="1"/>
        <v>59</v>
      </c>
    </row>
    <row r="11" spans="1:45" x14ac:dyDescent="0.25">
      <c r="A11" s="376">
        <v>1</v>
      </c>
      <c r="B11" s="333" t="s">
        <v>12</v>
      </c>
      <c r="C11" s="330" t="s">
        <v>4</v>
      </c>
      <c r="D11" s="330" t="s">
        <v>103</v>
      </c>
      <c r="E11" s="331" t="s">
        <v>16</v>
      </c>
      <c r="F11" s="332">
        <v>0.33333333333333331</v>
      </c>
      <c r="G11" s="332">
        <v>0.5</v>
      </c>
      <c r="H11" s="332">
        <f t="shared" si="0"/>
        <v>0.16666666666666669</v>
      </c>
      <c r="I11" s="474" t="s">
        <v>158</v>
      </c>
      <c r="J11" s="474"/>
      <c r="K11" s="491">
        <v>20</v>
      </c>
      <c r="L11" s="491">
        <v>13</v>
      </c>
      <c r="M11" s="491">
        <v>13</v>
      </c>
      <c r="N11" s="491">
        <v>13</v>
      </c>
      <c r="O11" s="502">
        <f t="shared" si="1"/>
        <v>59</v>
      </c>
    </row>
    <row r="12" spans="1:45" x14ac:dyDescent="0.25">
      <c r="A12" s="376">
        <v>1</v>
      </c>
      <c r="B12" s="333" t="s">
        <v>97</v>
      </c>
      <c r="C12" s="330" t="s">
        <v>4</v>
      </c>
      <c r="D12" s="330" t="s">
        <v>102</v>
      </c>
      <c r="E12" s="331" t="s">
        <v>16</v>
      </c>
      <c r="F12" s="332">
        <v>0.58333333333333337</v>
      </c>
      <c r="G12" s="332">
        <v>0.625</v>
      </c>
      <c r="H12" s="332">
        <f t="shared" si="0"/>
        <v>4.166666666666663E-2</v>
      </c>
      <c r="I12" s="474" t="s">
        <v>127</v>
      </c>
      <c r="J12" s="474"/>
      <c r="K12" s="491">
        <v>20</v>
      </c>
      <c r="L12" s="491">
        <v>13</v>
      </c>
      <c r="M12" s="491">
        <v>13</v>
      </c>
      <c r="N12" s="491">
        <v>13</v>
      </c>
      <c r="O12" s="502">
        <f t="shared" si="1"/>
        <v>59</v>
      </c>
    </row>
    <row r="13" spans="1:45" x14ac:dyDescent="0.25">
      <c r="A13" s="376">
        <v>1</v>
      </c>
      <c r="B13" s="333" t="s">
        <v>97</v>
      </c>
      <c r="C13" s="330" t="s">
        <v>4</v>
      </c>
      <c r="D13" s="330" t="s">
        <v>103</v>
      </c>
      <c r="E13" s="331" t="s">
        <v>16</v>
      </c>
      <c r="F13" s="332">
        <v>0.625</v>
      </c>
      <c r="G13" s="332">
        <v>0.70833333333333337</v>
      </c>
      <c r="H13" s="332">
        <f t="shared" si="0"/>
        <v>8.333333333333337E-2</v>
      </c>
      <c r="I13" s="474" t="s">
        <v>127</v>
      </c>
      <c r="J13" s="474"/>
      <c r="K13" s="491">
        <v>20</v>
      </c>
      <c r="L13" s="491">
        <v>13</v>
      </c>
      <c r="M13" s="491">
        <v>13</v>
      </c>
      <c r="N13" s="491">
        <v>13</v>
      </c>
      <c r="O13" s="502">
        <f t="shared" si="1"/>
        <v>59</v>
      </c>
    </row>
    <row r="14" spans="1:45" x14ac:dyDescent="0.25">
      <c r="A14" s="376">
        <v>1</v>
      </c>
      <c r="B14" s="333" t="s">
        <v>161</v>
      </c>
      <c r="C14" s="330" t="s">
        <v>4</v>
      </c>
      <c r="D14" s="330" t="s">
        <v>102</v>
      </c>
      <c r="E14" s="331" t="s">
        <v>15</v>
      </c>
      <c r="F14" s="215">
        <v>0.33333333333333331</v>
      </c>
      <c r="G14" s="215">
        <v>66.458333333333329</v>
      </c>
      <c r="H14" s="332">
        <f t="shared" si="0"/>
        <v>66.125</v>
      </c>
      <c r="I14" s="474" t="s">
        <v>169</v>
      </c>
      <c r="J14" s="359"/>
      <c r="K14" s="491">
        <v>0</v>
      </c>
      <c r="L14" s="491">
        <v>0</v>
      </c>
      <c r="M14" s="491">
        <v>0</v>
      </c>
      <c r="N14" s="491">
        <v>40</v>
      </c>
      <c r="O14" s="502">
        <f t="shared" si="1"/>
        <v>40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</row>
    <row r="15" spans="1:45" x14ac:dyDescent="0.25">
      <c r="A15" s="376">
        <v>1</v>
      </c>
      <c r="B15" s="333" t="s">
        <v>161</v>
      </c>
      <c r="C15" s="330" t="s">
        <v>4</v>
      </c>
      <c r="D15" s="330" t="s">
        <v>103</v>
      </c>
      <c r="E15" s="331" t="s">
        <v>15</v>
      </c>
      <c r="F15" s="215">
        <v>66.458333333333329</v>
      </c>
      <c r="G15" s="215">
        <v>66.541666666666671</v>
      </c>
      <c r="H15" s="332">
        <f t="shared" si="0"/>
        <v>8.3333333333342807E-2</v>
      </c>
      <c r="I15" s="474" t="s">
        <v>169</v>
      </c>
      <c r="J15" s="359"/>
      <c r="K15" s="491">
        <v>0</v>
      </c>
      <c r="L15" s="491">
        <v>0</v>
      </c>
      <c r="M15" s="491">
        <v>0</v>
      </c>
      <c r="N15" s="491">
        <v>40</v>
      </c>
      <c r="O15" s="502">
        <f t="shared" si="1"/>
        <v>40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25">
      <c r="A16" s="376">
        <v>1</v>
      </c>
      <c r="B16" s="355" t="s">
        <v>100</v>
      </c>
      <c r="C16" s="330" t="s">
        <v>4</v>
      </c>
      <c r="D16" s="330" t="s">
        <v>102</v>
      </c>
      <c r="E16" s="330" t="s">
        <v>22</v>
      </c>
      <c r="F16" s="215">
        <v>0.33333333333333331</v>
      </c>
      <c r="G16" s="215">
        <v>66.416666666666671</v>
      </c>
      <c r="H16" s="215">
        <f t="shared" si="0"/>
        <v>66.083333333333343</v>
      </c>
      <c r="I16" s="474" t="s">
        <v>126</v>
      </c>
      <c r="J16" s="474"/>
      <c r="K16" s="491">
        <v>20</v>
      </c>
      <c r="L16" s="491">
        <v>13</v>
      </c>
      <c r="M16" s="491">
        <v>13</v>
      </c>
      <c r="N16" s="491">
        <v>13</v>
      </c>
      <c r="O16" s="502">
        <f t="shared" si="1"/>
        <v>59</v>
      </c>
    </row>
    <row r="17" spans="1:45" s="13" customFormat="1" x14ac:dyDescent="0.25">
      <c r="A17" s="376">
        <v>1</v>
      </c>
      <c r="B17" s="355" t="s">
        <v>100</v>
      </c>
      <c r="C17" s="330" t="s">
        <v>4</v>
      </c>
      <c r="D17" s="330" t="s">
        <v>103</v>
      </c>
      <c r="E17" s="330" t="s">
        <v>22</v>
      </c>
      <c r="F17" s="215">
        <v>0.41666666666666669</v>
      </c>
      <c r="G17" s="215">
        <v>0.5</v>
      </c>
      <c r="H17" s="215">
        <f t="shared" si="0"/>
        <v>8.3333333333333315E-2</v>
      </c>
      <c r="I17" s="474" t="s">
        <v>126</v>
      </c>
      <c r="J17" s="474"/>
      <c r="K17" s="491">
        <v>20</v>
      </c>
      <c r="L17" s="491">
        <v>13</v>
      </c>
      <c r="M17" s="491">
        <v>13</v>
      </c>
      <c r="N17" s="491">
        <v>13</v>
      </c>
      <c r="O17" s="502">
        <f t="shared" si="1"/>
        <v>59</v>
      </c>
    </row>
    <row r="18" spans="1:45" x14ac:dyDescent="0.25">
      <c r="A18" s="376">
        <v>1</v>
      </c>
      <c r="B18" s="333" t="s">
        <v>96</v>
      </c>
      <c r="C18" s="330" t="s">
        <v>4</v>
      </c>
      <c r="D18" s="330" t="s">
        <v>102</v>
      </c>
      <c r="E18" s="331" t="s">
        <v>14</v>
      </c>
      <c r="F18" s="332">
        <v>0.58333333333333337</v>
      </c>
      <c r="G18" s="332">
        <v>0.625</v>
      </c>
      <c r="H18" s="332">
        <f t="shared" si="0"/>
        <v>4.166666666666663E-2</v>
      </c>
      <c r="I18" s="359" t="s">
        <v>125</v>
      </c>
      <c r="J18" s="359"/>
      <c r="K18" s="491">
        <v>20</v>
      </c>
      <c r="L18" s="491">
        <v>13</v>
      </c>
      <c r="M18" s="491">
        <v>13</v>
      </c>
      <c r="N18" s="491">
        <v>13</v>
      </c>
      <c r="O18" s="502">
        <f t="shared" si="1"/>
        <v>59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spans="1:45" x14ac:dyDescent="0.25">
      <c r="A19" s="376">
        <v>1</v>
      </c>
      <c r="B19" s="333" t="s">
        <v>96</v>
      </c>
      <c r="C19" s="330" t="s">
        <v>4</v>
      </c>
      <c r="D19" s="330" t="s">
        <v>103</v>
      </c>
      <c r="E19" s="331" t="s">
        <v>14</v>
      </c>
      <c r="F19" s="332">
        <v>0.625</v>
      </c>
      <c r="G19" s="332">
        <v>0.70833333333333337</v>
      </c>
      <c r="H19" s="332">
        <f t="shared" si="0"/>
        <v>8.333333333333337E-2</v>
      </c>
      <c r="I19" s="359" t="s">
        <v>125</v>
      </c>
      <c r="J19" s="359"/>
      <c r="K19" s="491">
        <v>20</v>
      </c>
      <c r="L19" s="491">
        <v>13</v>
      </c>
      <c r="M19" s="491">
        <v>13</v>
      </c>
      <c r="N19" s="491">
        <v>13</v>
      </c>
      <c r="O19" s="502">
        <f t="shared" si="1"/>
        <v>59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spans="1:45" s="13" customFormat="1" x14ac:dyDescent="0.25">
      <c r="A20" s="376">
        <v>1</v>
      </c>
      <c r="B20" s="333" t="s">
        <v>101</v>
      </c>
      <c r="C20" s="330" t="s">
        <v>4</v>
      </c>
      <c r="D20" s="330" t="s">
        <v>102</v>
      </c>
      <c r="E20" s="331" t="s">
        <v>14</v>
      </c>
      <c r="F20" s="215">
        <v>0.41666666666666669</v>
      </c>
      <c r="G20" s="215">
        <v>0.45833333333333331</v>
      </c>
      <c r="H20" s="332">
        <f t="shared" si="0"/>
        <v>4.166666666666663E-2</v>
      </c>
      <c r="I20" s="474" t="s">
        <v>165</v>
      </c>
      <c r="J20" s="474"/>
      <c r="K20" s="491">
        <v>20</v>
      </c>
      <c r="L20" s="491">
        <v>13</v>
      </c>
      <c r="M20" s="491">
        <v>13</v>
      </c>
      <c r="N20" s="491">
        <v>0</v>
      </c>
      <c r="O20" s="502">
        <f t="shared" si="1"/>
        <v>46</v>
      </c>
    </row>
    <row r="21" spans="1:45" x14ac:dyDescent="0.25">
      <c r="A21" s="376">
        <v>1</v>
      </c>
      <c r="B21" s="333" t="s">
        <v>101</v>
      </c>
      <c r="C21" s="330" t="s">
        <v>4</v>
      </c>
      <c r="D21" s="330" t="s">
        <v>103</v>
      </c>
      <c r="E21" s="331" t="s">
        <v>14</v>
      </c>
      <c r="F21" s="215">
        <v>0.45833333333333331</v>
      </c>
      <c r="G21" s="215">
        <v>66.541666666666671</v>
      </c>
      <c r="H21" s="332">
        <f t="shared" si="0"/>
        <v>66.083333333333343</v>
      </c>
      <c r="I21" s="474" t="s">
        <v>165</v>
      </c>
      <c r="J21" s="474"/>
      <c r="K21" s="491">
        <v>20</v>
      </c>
      <c r="L21" s="491">
        <v>13</v>
      </c>
      <c r="M21" s="491">
        <v>13</v>
      </c>
      <c r="N21" s="491">
        <v>0</v>
      </c>
      <c r="O21" s="502">
        <f t="shared" si="1"/>
        <v>46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 spans="1:45" s="13" customFormat="1" x14ac:dyDescent="0.25">
      <c r="A22" s="388">
        <v>1</v>
      </c>
      <c r="B22" s="359" t="s">
        <v>95</v>
      </c>
      <c r="C22" s="330" t="s">
        <v>4</v>
      </c>
      <c r="D22" s="330" t="s">
        <v>102</v>
      </c>
      <c r="E22" s="331" t="s">
        <v>13</v>
      </c>
      <c r="F22" s="332">
        <v>0.41666666666666669</v>
      </c>
      <c r="G22" s="332">
        <v>0.5</v>
      </c>
      <c r="H22" s="332">
        <f t="shared" si="0"/>
        <v>8.3333333333333315E-2</v>
      </c>
      <c r="I22" s="359" t="s">
        <v>124</v>
      </c>
      <c r="J22" s="359"/>
      <c r="K22" s="491">
        <v>20</v>
      </c>
      <c r="L22" s="491">
        <v>13</v>
      </c>
      <c r="M22" s="491">
        <v>13</v>
      </c>
      <c r="N22" s="491">
        <v>13</v>
      </c>
      <c r="O22" s="502">
        <f t="shared" si="1"/>
        <v>59</v>
      </c>
    </row>
    <row r="23" spans="1:45" ht="15.75" thickBot="1" x14ac:dyDescent="0.3">
      <c r="A23" s="504">
        <v>1</v>
      </c>
      <c r="B23" s="505" t="s">
        <v>95</v>
      </c>
      <c r="C23" s="506" t="s">
        <v>4</v>
      </c>
      <c r="D23" s="506" t="s">
        <v>103</v>
      </c>
      <c r="E23" s="506" t="s">
        <v>13</v>
      </c>
      <c r="F23" s="507">
        <v>0.5</v>
      </c>
      <c r="G23" s="507">
        <v>0.58333333333333337</v>
      </c>
      <c r="H23" s="507">
        <f t="shared" si="0"/>
        <v>8.333333333333337E-2</v>
      </c>
      <c r="I23" s="505" t="s">
        <v>124</v>
      </c>
      <c r="J23" s="505"/>
      <c r="K23" s="508">
        <v>20</v>
      </c>
      <c r="L23" s="508">
        <v>13</v>
      </c>
      <c r="M23" s="508">
        <v>13</v>
      </c>
      <c r="N23" s="508">
        <v>13</v>
      </c>
      <c r="O23" s="509">
        <f t="shared" si="1"/>
        <v>59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x14ac:dyDescent="0.25">
      <c r="A24" s="510">
        <v>1</v>
      </c>
      <c r="B24" s="511" t="s">
        <v>99</v>
      </c>
      <c r="C24" s="512" t="s">
        <v>6</v>
      </c>
      <c r="D24" s="512" t="s">
        <v>102</v>
      </c>
      <c r="E24" s="513" t="s">
        <v>13</v>
      </c>
      <c r="F24" s="514">
        <v>0.33333333333333331</v>
      </c>
      <c r="G24" s="514">
        <v>0.41666666666666669</v>
      </c>
      <c r="H24" s="514">
        <f t="shared" si="0"/>
        <v>8.333333333333337E-2</v>
      </c>
      <c r="I24" s="520"/>
      <c r="J24" s="520"/>
      <c r="K24" s="521">
        <v>20</v>
      </c>
      <c r="L24" s="521">
        <v>13</v>
      </c>
      <c r="M24" s="521">
        <v>13</v>
      </c>
      <c r="N24" s="521">
        <v>13</v>
      </c>
      <c r="O24" s="522">
        <f t="shared" si="1"/>
        <v>59</v>
      </c>
    </row>
    <row r="25" spans="1:45" x14ac:dyDescent="0.25">
      <c r="A25" s="377">
        <v>1</v>
      </c>
      <c r="B25" s="337" t="s">
        <v>99</v>
      </c>
      <c r="C25" s="334" t="s">
        <v>6</v>
      </c>
      <c r="D25" s="334" t="s">
        <v>103</v>
      </c>
      <c r="E25" s="335" t="s">
        <v>17</v>
      </c>
      <c r="F25" s="336">
        <v>0.33333333333333331</v>
      </c>
      <c r="G25" s="336">
        <v>0.5</v>
      </c>
      <c r="H25" s="336">
        <f t="shared" si="0"/>
        <v>0.16666666666666669</v>
      </c>
      <c r="I25" s="490"/>
      <c r="J25" s="490"/>
      <c r="K25" s="523">
        <v>20</v>
      </c>
      <c r="L25" s="523">
        <v>13</v>
      </c>
      <c r="M25" s="523">
        <v>13</v>
      </c>
      <c r="N25" s="523">
        <v>13</v>
      </c>
      <c r="O25" s="524">
        <f t="shared" si="1"/>
        <v>59</v>
      </c>
    </row>
    <row r="26" spans="1:45" x14ac:dyDescent="0.25">
      <c r="A26" s="377">
        <v>1</v>
      </c>
      <c r="B26" s="337" t="s">
        <v>98</v>
      </c>
      <c r="C26" s="334" t="s">
        <v>6</v>
      </c>
      <c r="D26" s="334" t="s">
        <v>102</v>
      </c>
      <c r="E26" s="335" t="s">
        <v>15</v>
      </c>
      <c r="F26" s="336">
        <v>0.33333333333333331</v>
      </c>
      <c r="G26" s="336">
        <v>0.41666666666666669</v>
      </c>
      <c r="H26" s="336">
        <f t="shared" si="0"/>
        <v>8.333333333333337E-2</v>
      </c>
      <c r="I26" s="490" t="s">
        <v>157</v>
      </c>
      <c r="J26" s="490"/>
      <c r="K26" s="523">
        <v>20</v>
      </c>
      <c r="L26" s="523">
        <v>13</v>
      </c>
      <c r="M26" s="523">
        <v>13</v>
      </c>
      <c r="N26" s="523">
        <v>0</v>
      </c>
      <c r="O26" s="524">
        <f t="shared" si="1"/>
        <v>46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1:45" s="13" customFormat="1" x14ac:dyDescent="0.25">
      <c r="A27" s="377">
        <v>1</v>
      </c>
      <c r="B27" s="337" t="s">
        <v>98</v>
      </c>
      <c r="C27" s="334" t="s">
        <v>6</v>
      </c>
      <c r="D27" s="334" t="s">
        <v>103</v>
      </c>
      <c r="E27" s="335" t="s">
        <v>15</v>
      </c>
      <c r="F27" s="336">
        <v>0.41666666666666669</v>
      </c>
      <c r="G27" s="336">
        <v>0.5</v>
      </c>
      <c r="H27" s="336">
        <f t="shared" si="0"/>
        <v>8.3333333333333315E-2</v>
      </c>
      <c r="I27" s="490" t="s">
        <v>157</v>
      </c>
      <c r="J27" s="490"/>
      <c r="K27" s="523">
        <v>20</v>
      </c>
      <c r="L27" s="523">
        <v>13</v>
      </c>
      <c r="M27" s="523">
        <v>13</v>
      </c>
      <c r="N27" s="523">
        <v>0</v>
      </c>
      <c r="O27" s="524">
        <f t="shared" si="1"/>
        <v>46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13" customFormat="1" x14ac:dyDescent="0.25">
      <c r="A28" s="377">
        <v>1</v>
      </c>
      <c r="B28" s="337" t="s">
        <v>98</v>
      </c>
      <c r="C28" s="334" t="s">
        <v>6</v>
      </c>
      <c r="D28" s="334" t="s">
        <v>104</v>
      </c>
      <c r="E28" s="335" t="s">
        <v>15</v>
      </c>
      <c r="F28" s="336">
        <v>0.5</v>
      </c>
      <c r="G28" s="336">
        <v>0.58333333333333337</v>
      </c>
      <c r="H28" s="336">
        <f t="shared" si="0"/>
        <v>8.333333333333337E-2</v>
      </c>
      <c r="I28" s="490" t="s">
        <v>157</v>
      </c>
      <c r="J28" s="490"/>
      <c r="K28" s="523">
        <v>20</v>
      </c>
      <c r="L28" s="523">
        <v>13</v>
      </c>
      <c r="M28" s="523">
        <v>13</v>
      </c>
      <c r="N28" s="523">
        <v>0</v>
      </c>
      <c r="O28" s="524">
        <f t="shared" si="1"/>
        <v>46</v>
      </c>
    </row>
    <row r="29" spans="1:45" x14ac:dyDescent="0.25">
      <c r="A29" s="385">
        <v>1</v>
      </c>
      <c r="B29" s="337" t="s">
        <v>12</v>
      </c>
      <c r="C29" s="334" t="s">
        <v>6</v>
      </c>
      <c r="D29" s="334" t="s">
        <v>102</v>
      </c>
      <c r="E29" s="335" t="s">
        <v>14</v>
      </c>
      <c r="F29" s="336">
        <v>0.58333333333333337</v>
      </c>
      <c r="G29" s="336">
        <v>0.66666666666666663</v>
      </c>
      <c r="H29" s="336">
        <f t="shared" si="0"/>
        <v>8.3333333333333259E-2</v>
      </c>
      <c r="I29" s="490" t="s">
        <v>159</v>
      </c>
      <c r="J29" s="490"/>
      <c r="K29" s="523">
        <v>20</v>
      </c>
      <c r="L29" s="523">
        <v>13</v>
      </c>
      <c r="M29" s="523">
        <v>13</v>
      </c>
      <c r="N29" s="523">
        <v>13</v>
      </c>
      <c r="O29" s="524">
        <f t="shared" si="1"/>
        <v>59</v>
      </c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303"/>
      <c r="AE29" s="303"/>
      <c r="AF29" s="303"/>
      <c r="AG29" s="303"/>
      <c r="AH29" s="303"/>
      <c r="AI29" s="303"/>
      <c r="AJ29" s="303"/>
      <c r="AK29" s="303"/>
      <c r="AL29" s="303"/>
      <c r="AM29" s="303"/>
      <c r="AN29" s="303"/>
      <c r="AO29" s="303"/>
      <c r="AP29" s="303"/>
      <c r="AQ29" s="303"/>
      <c r="AR29" s="303"/>
      <c r="AS29" s="303"/>
    </row>
    <row r="30" spans="1:45" x14ac:dyDescent="0.25">
      <c r="A30" s="377">
        <v>1</v>
      </c>
      <c r="B30" s="337" t="s">
        <v>12</v>
      </c>
      <c r="C30" s="334" t="s">
        <v>6</v>
      </c>
      <c r="D30" s="334" t="s">
        <v>103</v>
      </c>
      <c r="E30" s="335" t="s">
        <v>16</v>
      </c>
      <c r="F30" s="336">
        <v>0.58333333333333337</v>
      </c>
      <c r="G30" s="336">
        <v>0.75</v>
      </c>
      <c r="H30" s="336">
        <f t="shared" si="0"/>
        <v>0.16666666666666663</v>
      </c>
      <c r="I30" s="490" t="s">
        <v>159</v>
      </c>
      <c r="J30" s="490"/>
      <c r="K30" s="523">
        <v>20</v>
      </c>
      <c r="L30" s="523">
        <v>13</v>
      </c>
      <c r="M30" s="523">
        <v>13</v>
      </c>
      <c r="N30" s="523">
        <v>13</v>
      </c>
      <c r="O30" s="524">
        <f t="shared" si="1"/>
        <v>59</v>
      </c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</row>
    <row r="31" spans="1:45" x14ac:dyDescent="0.25">
      <c r="A31" s="377">
        <v>1</v>
      </c>
      <c r="B31" s="337" t="s">
        <v>97</v>
      </c>
      <c r="C31" s="334" t="s">
        <v>6</v>
      </c>
      <c r="D31" s="334" t="s">
        <v>102</v>
      </c>
      <c r="E31" s="335" t="s">
        <v>13</v>
      </c>
      <c r="F31" s="336">
        <v>0.41666666666666669</v>
      </c>
      <c r="G31" s="336">
        <v>0.45833333333333331</v>
      </c>
      <c r="H31" s="336">
        <f t="shared" si="0"/>
        <v>4.166666666666663E-2</v>
      </c>
      <c r="I31" s="490" t="s">
        <v>127</v>
      </c>
      <c r="J31" s="490"/>
      <c r="K31" s="523">
        <v>20</v>
      </c>
      <c r="L31" s="523">
        <v>13</v>
      </c>
      <c r="M31" s="523">
        <v>13</v>
      </c>
      <c r="N31" s="523">
        <v>13</v>
      </c>
      <c r="O31" s="524">
        <f t="shared" si="1"/>
        <v>59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 spans="1:45" x14ac:dyDescent="0.25">
      <c r="A32" s="377">
        <v>1</v>
      </c>
      <c r="B32" s="337" t="s">
        <v>97</v>
      </c>
      <c r="C32" s="334" t="s">
        <v>6</v>
      </c>
      <c r="D32" s="334" t="s">
        <v>103</v>
      </c>
      <c r="E32" s="335" t="s">
        <v>13</v>
      </c>
      <c r="F32" s="336">
        <v>0.45833333333333331</v>
      </c>
      <c r="G32" s="336">
        <v>0.54166666666666663</v>
      </c>
      <c r="H32" s="336">
        <f t="shared" si="0"/>
        <v>8.3333333333333315E-2</v>
      </c>
      <c r="I32" s="490" t="s">
        <v>127</v>
      </c>
      <c r="J32" s="490"/>
      <c r="K32" s="523">
        <v>20</v>
      </c>
      <c r="L32" s="523">
        <v>13</v>
      </c>
      <c r="M32" s="523">
        <v>13</v>
      </c>
      <c r="N32" s="523">
        <v>13</v>
      </c>
      <c r="O32" s="524">
        <f t="shared" si="1"/>
        <v>59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spans="1:45" x14ac:dyDescent="0.25">
      <c r="A33" s="377">
        <v>1</v>
      </c>
      <c r="B33" s="337" t="s">
        <v>100</v>
      </c>
      <c r="C33" s="334" t="s">
        <v>6</v>
      </c>
      <c r="D33" s="334" t="s">
        <v>102</v>
      </c>
      <c r="E33" s="335" t="s">
        <v>16</v>
      </c>
      <c r="F33" s="207">
        <v>0.33333333333333331</v>
      </c>
      <c r="G33" s="207">
        <v>66.416666666666671</v>
      </c>
      <c r="H33" s="336">
        <f t="shared" si="0"/>
        <v>66.083333333333343</v>
      </c>
      <c r="I33" s="490" t="s">
        <v>126</v>
      </c>
      <c r="J33" s="490"/>
      <c r="K33" s="523">
        <v>20</v>
      </c>
      <c r="L33" s="523">
        <v>13</v>
      </c>
      <c r="M33" s="523">
        <v>13</v>
      </c>
      <c r="N33" s="523">
        <v>13</v>
      </c>
      <c r="O33" s="524">
        <f t="shared" si="1"/>
        <v>59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</row>
    <row r="34" spans="1:45" s="13" customFormat="1" x14ac:dyDescent="0.25">
      <c r="A34" s="377">
        <v>1</v>
      </c>
      <c r="B34" s="337" t="s">
        <v>100</v>
      </c>
      <c r="C34" s="334" t="s">
        <v>6</v>
      </c>
      <c r="D34" s="334" t="s">
        <v>103</v>
      </c>
      <c r="E34" s="335" t="s">
        <v>16</v>
      </c>
      <c r="F34" s="207">
        <v>0.41666666666666669</v>
      </c>
      <c r="G34" s="207">
        <v>0.5</v>
      </c>
      <c r="H34" s="336">
        <f t="shared" si="0"/>
        <v>8.3333333333333315E-2</v>
      </c>
      <c r="I34" s="490" t="s">
        <v>126</v>
      </c>
      <c r="J34" s="490"/>
      <c r="K34" s="523">
        <v>20</v>
      </c>
      <c r="L34" s="523">
        <v>13</v>
      </c>
      <c r="M34" s="523">
        <v>13</v>
      </c>
      <c r="N34" s="523">
        <v>13</v>
      </c>
      <c r="O34" s="524">
        <f t="shared" si="1"/>
        <v>59</v>
      </c>
    </row>
    <row r="35" spans="1:45" x14ac:dyDescent="0.25">
      <c r="A35" s="387">
        <v>1</v>
      </c>
      <c r="B35" s="356" t="s">
        <v>96</v>
      </c>
      <c r="C35" s="334" t="s">
        <v>6</v>
      </c>
      <c r="D35" s="334" t="s">
        <v>102</v>
      </c>
      <c r="E35" s="335" t="s">
        <v>22</v>
      </c>
      <c r="F35" s="207">
        <v>0.33333333333333331</v>
      </c>
      <c r="G35" s="207">
        <v>0.375</v>
      </c>
      <c r="H35" s="207">
        <f t="shared" si="0"/>
        <v>4.1666666666666685E-2</v>
      </c>
      <c r="I35" s="490" t="s">
        <v>164</v>
      </c>
      <c r="J35" s="490"/>
      <c r="K35" s="523">
        <v>20</v>
      </c>
      <c r="L35" s="523">
        <v>13</v>
      </c>
      <c r="M35" s="523">
        <v>13</v>
      </c>
      <c r="N35" s="523">
        <v>13</v>
      </c>
      <c r="O35" s="524">
        <f t="shared" si="1"/>
        <v>59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</row>
    <row r="36" spans="1:45" x14ac:dyDescent="0.25">
      <c r="A36" s="387">
        <v>1</v>
      </c>
      <c r="B36" s="356" t="s">
        <v>96</v>
      </c>
      <c r="C36" s="334" t="s">
        <v>6</v>
      </c>
      <c r="D36" s="334" t="s">
        <v>103</v>
      </c>
      <c r="E36" s="335" t="s">
        <v>22</v>
      </c>
      <c r="F36" s="207">
        <v>0.375</v>
      </c>
      <c r="G36" s="207">
        <v>0.45833333333333331</v>
      </c>
      <c r="H36" s="207">
        <f t="shared" si="0"/>
        <v>8.3333333333333315E-2</v>
      </c>
      <c r="I36" s="490" t="s">
        <v>164</v>
      </c>
      <c r="J36" s="490"/>
      <c r="K36" s="523">
        <v>20</v>
      </c>
      <c r="L36" s="523">
        <v>13</v>
      </c>
      <c r="M36" s="523">
        <v>13</v>
      </c>
      <c r="N36" s="523">
        <v>13</v>
      </c>
      <c r="O36" s="524">
        <f t="shared" si="1"/>
        <v>59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spans="1:45" s="303" customFormat="1" x14ac:dyDescent="0.25">
      <c r="A37" s="377">
        <v>1</v>
      </c>
      <c r="B37" s="337" t="s">
        <v>101</v>
      </c>
      <c r="C37" s="334" t="s">
        <v>6</v>
      </c>
      <c r="D37" s="334" t="s">
        <v>102</v>
      </c>
      <c r="E37" s="335" t="s">
        <v>17</v>
      </c>
      <c r="F37" s="336">
        <v>0.58333333333333337</v>
      </c>
      <c r="G37" s="336">
        <v>0.625</v>
      </c>
      <c r="H37" s="336">
        <f t="shared" ref="H37:H68" si="2">G37-F37</f>
        <v>4.166666666666663E-2</v>
      </c>
      <c r="I37" s="490" t="s">
        <v>165</v>
      </c>
      <c r="J37" s="490"/>
      <c r="K37" s="523">
        <v>20</v>
      </c>
      <c r="L37" s="523">
        <v>13</v>
      </c>
      <c r="M37" s="523">
        <v>13</v>
      </c>
      <c r="N37" s="523">
        <v>0</v>
      </c>
      <c r="O37" s="524">
        <f t="shared" ref="O37:O68" si="3">SUM(K37:N37)</f>
        <v>46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303" customFormat="1" x14ac:dyDescent="0.25">
      <c r="A38" s="377">
        <v>1</v>
      </c>
      <c r="B38" s="337" t="s">
        <v>101</v>
      </c>
      <c r="C38" s="334" t="s">
        <v>6</v>
      </c>
      <c r="D38" s="334" t="s">
        <v>103</v>
      </c>
      <c r="E38" s="335" t="s">
        <v>17</v>
      </c>
      <c r="F38" s="336">
        <v>0.625</v>
      </c>
      <c r="G38" s="336">
        <v>0.70833333333333337</v>
      </c>
      <c r="H38" s="336">
        <f t="shared" si="2"/>
        <v>8.333333333333337E-2</v>
      </c>
      <c r="I38" s="490" t="s">
        <v>165</v>
      </c>
      <c r="J38" s="490"/>
      <c r="K38" s="523">
        <v>20</v>
      </c>
      <c r="L38" s="523">
        <v>13</v>
      </c>
      <c r="M38" s="523">
        <v>13</v>
      </c>
      <c r="N38" s="523">
        <v>0</v>
      </c>
      <c r="O38" s="524">
        <f t="shared" si="3"/>
        <v>46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x14ac:dyDescent="0.25">
      <c r="A39" s="389">
        <v>1</v>
      </c>
      <c r="B39" s="360" t="s">
        <v>95</v>
      </c>
      <c r="C39" s="334" t="s">
        <v>6</v>
      </c>
      <c r="D39" s="334" t="s">
        <v>102</v>
      </c>
      <c r="E39" s="335" t="s">
        <v>14</v>
      </c>
      <c r="F39" s="336">
        <v>0.33333333333333331</v>
      </c>
      <c r="G39" s="336">
        <v>0.41666666666666669</v>
      </c>
      <c r="H39" s="336">
        <f t="shared" si="2"/>
        <v>8.333333333333337E-2</v>
      </c>
      <c r="I39" s="360" t="s">
        <v>125</v>
      </c>
      <c r="J39" s="360"/>
      <c r="K39" s="523">
        <v>20</v>
      </c>
      <c r="L39" s="523">
        <v>13</v>
      </c>
      <c r="M39" s="523">
        <v>13</v>
      </c>
      <c r="N39" s="523">
        <v>13</v>
      </c>
      <c r="O39" s="524">
        <f t="shared" si="3"/>
        <v>59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1:45" s="13" customFormat="1" ht="15.75" thickBot="1" x14ac:dyDescent="0.3">
      <c r="A40" s="515">
        <v>1</v>
      </c>
      <c r="B40" s="516" t="s">
        <v>95</v>
      </c>
      <c r="C40" s="517" t="s">
        <v>6</v>
      </c>
      <c r="D40" s="517" t="s">
        <v>103</v>
      </c>
      <c r="E40" s="518" t="s">
        <v>14</v>
      </c>
      <c r="F40" s="519">
        <v>0.41666666666666669</v>
      </c>
      <c r="G40" s="519">
        <v>0.5</v>
      </c>
      <c r="H40" s="519">
        <f t="shared" si="2"/>
        <v>8.3333333333333315E-2</v>
      </c>
      <c r="I40" s="516" t="s">
        <v>125</v>
      </c>
      <c r="J40" s="516"/>
      <c r="K40" s="525">
        <v>20</v>
      </c>
      <c r="L40" s="525">
        <v>13</v>
      </c>
      <c r="M40" s="525">
        <v>13</v>
      </c>
      <c r="N40" s="525">
        <v>13</v>
      </c>
      <c r="O40" s="526">
        <f t="shared" si="3"/>
        <v>59</v>
      </c>
    </row>
    <row r="41" spans="1:45" s="13" customFormat="1" x14ac:dyDescent="0.25">
      <c r="A41" s="528">
        <v>1</v>
      </c>
      <c r="B41" s="529" t="s">
        <v>99</v>
      </c>
      <c r="C41" s="530" t="s">
        <v>7</v>
      </c>
      <c r="D41" s="530" t="s">
        <v>102</v>
      </c>
      <c r="E41" s="531" t="s">
        <v>14</v>
      </c>
      <c r="F41" s="532">
        <v>0.33333333333333331</v>
      </c>
      <c r="G41" s="532">
        <v>0.41666666666666669</v>
      </c>
      <c r="H41" s="532">
        <f t="shared" si="2"/>
        <v>8.333333333333337E-2</v>
      </c>
      <c r="I41" s="533" t="s">
        <v>155</v>
      </c>
      <c r="J41" s="533"/>
      <c r="K41" s="534">
        <v>25</v>
      </c>
      <c r="L41" s="534">
        <v>18</v>
      </c>
      <c r="M41" s="534">
        <v>18</v>
      </c>
      <c r="N41" s="534">
        <v>0</v>
      </c>
      <c r="O41" s="535">
        <f t="shared" si="3"/>
        <v>61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1:45" s="13" customFormat="1" x14ac:dyDescent="0.25">
      <c r="A42" s="378">
        <v>1</v>
      </c>
      <c r="B42" s="342" t="s">
        <v>99</v>
      </c>
      <c r="C42" s="339" t="s">
        <v>7</v>
      </c>
      <c r="D42" s="339" t="s">
        <v>103</v>
      </c>
      <c r="E42" s="340" t="s">
        <v>16</v>
      </c>
      <c r="F42" s="341">
        <v>0.33333333333333331</v>
      </c>
      <c r="G42" s="341">
        <v>0.5</v>
      </c>
      <c r="H42" s="341">
        <f t="shared" si="2"/>
        <v>0.16666666666666669</v>
      </c>
      <c r="I42" s="486" t="s">
        <v>155</v>
      </c>
      <c r="J42" s="486"/>
      <c r="K42" s="527">
        <v>25</v>
      </c>
      <c r="L42" s="527">
        <v>18</v>
      </c>
      <c r="M42" s="527">
        <v>18</v>
      </c>
      <c r="N42" s="527">
        <v>0</v>
      </c>
      <c r="O42" s="536">
        <f t="shared" si="3"/>
        <v>61</v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 spans="1:45" x14ac:dyDescent="0.25">
      <c r="A43" s="378">
        <v>1</v>
      </c>
      <c r="B43" s="342" t="s">
        <v>98</v>
      </c>
      <c r="C43" s="339" t="s">
        <v>7</v>
      </c>
      <c r="D43" s="339" t="s">
        <v>102</v>
      </c>
      <c r="E43" s="340" t="s">
        <v>13</v>
      </c>
      <c r="F43" s="341">
        <v>0.33333333333333331</v>
      </c>
      <c r="G43" s="341">
        <v>0.41666666666666669</v>
      </c>
      <c r="H43" s="341">
        <f t="shared" si="2"/>
        <v>8.333333333333337E-2</v>
      </c>
      <c r="I43" s="486" t="s">
        <v>157</v>
      </c>
      <c r="J43" s="486"/>
      <c r="K43" s="527">
        <v>25</v>
      </c>
      <c r="L43" s="527">
        <v>18</v>
      </c>
      <c r="M43" s="527">
        <v>18</v>
      </c>
      <c r="N43" s="527">
        <v>0</v>
      </c>
      <c r="O43" s="536">
        <f t="shared" si="3"/>
        <v>61</v>
      </c>
    </row>
    <row r="44" spans="1:45" x14ac:dyDescent="0.25">
      <c r="A44" s="378">
        <v>1</v>
      </c>
      <c r="B44" s="342" t="s">
        <v>98</v>
      </c>
      <c r="C44" s="339" t="s">
        <v>7</v>
      </c>
      <c r="D44" s="339" t="s">
        <v>103</v>
      </c>
      <c r="E44" s="340" t="s">
        <v>13</v>
      </c>
      <c r="F44" s="341">
        <v>0.41666666666666669</v>
      </c>
      <c r="G44" s="341">
        <v>0.5</v>
      </c>
      <c r="H44" s="341">
        <f t="shared" si="2"/>
        <v>8.3333333333333315E-2</v>
      </c>
      <c r="I44" s="486" t="s">
        <v>157</v>
      </c>
      <c r="J44" s="486"/>
      <c r="K44" s="527">
        <v>25</v>
      </c>
      <c r="L44" s="527">
        <v>18</v>
      </c>
      <c r="M44" s="527">
        <v>18</v>
      </c>
      <c r="N44" s="527">
        <v>0</v>
      </c>
      <c r="O44" s="536">
        <f t="shared" si="3"/>
        <v>61</v>
      </c>
    </row>
    <row r="45" spans="1:45" x14ac:dyDescent="0.25">
      <c r="A45" s="378">
        <v>1</v>
      </c>
      <c r="B45" s="342" t="s">
        <v>98</v>
      </c>
      <c r="C45" s="339" t="s">
        <v>7</v>
      </c>
      <c r="D45" s="339" t="s">
        <v>104</v>
      </c>
      <c r="E45" s="340" t="s">
        <v>13</v>
      </c>
      <c r="F45" s="341">
        <v>0.5</v>
      </c>
      <c r="G45" s="341">
        <v>0.58333333333333337</v>
      </c>
      <c r="H45" s="341">
        <f t="shared" si="2"/>
        <v>8.333333333333337E-2</v>
      </c>
      <c r="I45" s="486" t="s">
        <v>157</v>
      </c>
      <c r="J45" s="486"/>
      <c r="K45" s="527">
        <v>25</v>
      </c>
      <c r="L45" s="527">
        <v>18</v>
      </c>
      <c r="M45" s="527">
        <v>18</v>
      </c>
      <c r="N45" s="527">
        <v>0</v>
      </c>
      <c r="O45" s="536">
        <f t="shared" si="3"/>
        <v>61</v>
      </c>
    </row>
    <row r="46" spans="1:45" x14ac:dyDescent="0.25">
      <c r="A46" s="378">
        <v>1</v>
      </c>
      <c r="B46" s="342" t="s">
        <v>12</v>
      </c>
      <c r="C46" s="339" t="s">
        <v>7</v>
      </c>
      <c r="D46" s="339" t="s">
        <v>102</v>
      </c>
      <c r="E46" s="340" t="s">
        <v>15</v>
      </c>
      <c r="F46" s="341">
        <v>0.58333333333333337</v>
      </c>
      <c r="G46" s="341">
        <v>66.666666666666671</v>
      </c>
      <c r="H46" s="341">
        <f t="shared" si="2"/>
        <v>66.083333333333343</v>
      </c>
      <c r="I46" s="486" t="s">
        <v>167</v>
      </c>
      <c r="J46" s="486"/>
      <c r="K46" s="527">
        <v>25</v>
      </c>
      <c r="L46" s="527">
        <v>18</v>
      </c>
      <c r="M46" s="527">
        <v>18</v>
      </c>
      <c r="N46" s="527">
        <v>0</v>
      </c>
      <c r="O46" s="536">
        <f t="shared" si="3"/>
        <v>61</v>
      </c>
    </row>
    <row r="47" spans="1:45" x14ac:dyDescent="0.25">
      <c r="A47" s="378">
        <v>1</v>
      </c>
      <c r="B47" s="342" t="s">
        <v>12</v>
      </c>
      <c r="C47" s="339" t="s">
        <v>7</v>
      </c>
      <c r="D47" s="339" t="s">
        <v>103</v>
      </c>
      <c r="E47" s="340" t="s">
        <v>17</v>
      </c>
      <c r="F47" s="341">
        <v>0.58333333333333337</v>
      </c>
      <c r="G47" s="341">
        <v>66.75</v>
      </c>
      <c r="H47" s="341">
        <f t="shared" si="2"/>
        <v>66.166666666666671</v>
      </c>
      <c r="I47" s="486" t="s">
        <v>167</v>
      </c>
      <c r="J47" s="486"/>
      <c r="K47" s="527">
        <v>25</v>
      </c>
      <c r="L47" s="527">
        <v>18</v>
      </c>
      <c r="M47" s="527">
        <v>18</v>
      </c>
      <c r="N47" s="527">
        <v>0</v>
      </c>
      <c r="O47" s="536">
        <f t="shared" si="3"/>
        <v>61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</row>
    <row r="48" spans="1:45" x14ac:dyDescent="0.25">
      <c r="A48" s="378">
        <v>1</v>
      </c>
      <c r="B48" s="342" t="s">
        <v>97</v>
      </c>
      <c r="C48" s="339" t="s">
        <v>7</v>
      </c>
      <c r="D48" s="339" t="s">
        <v>102</v>
      </c>
      <c r="E48" s="340" t="s">
        <v>22</v>
      </c>
      <c r="F48" s="341">
        <v>0.33333333333333331</v>
      </c>
      <c r="G48" s="341">
        <v>0.375</v>
      </c>
      <c r="H48" s="341">
        <f t="shared" si="2"/>
        <v>4.1666666666666685E-2</v>
      </c>
      <c r="I48" s="486" t="s">
        <v>168</v>
      </c>
      <c r="J48" s="486"/>
      <c r="K48" s="527">
        <v>25</v>
      </c>
      <c r="L48" s="527">
        <v>18</v>
      </c>
      <c r="M48" s="527">
        <v>18</v>
      </c>
      <c r="N48" s="527">
        <v>0</v>
      </c>
      <c r="O48" s="536">
        <f t="shared" si="3"/>
        <v>61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</row>
    <row r="49" spans="1:45" s="13" customFormat="1" x14ac:dyDescent="0.25">
      <c r="A49" s="378">
        <v>1</v>
      </c>
      <c r="B49" s="342" t="s">
        <v>97</v>
      </c>
      <c r="C49" s="339" t="s">
        <v>7</v>
      </c>
      <c r="D49" s="339" t="s">
        <v>103</v>
      </c>
      <c r="E49" s="340" t="s">
        <v>22</v>
      </c>
      <c r="F49" s="341">
        <v>0.375</v>
      </c>
      <c r="G49" s="341">
        <v>0.45833333333333331</v>
      </c>
      <c r="H49" s="341">
        <f t="shared" si="2"/>
        <v>8.3333333333333315E-2</v>
      </c>
      <c r="I49" s="486" t="s">
        <v>168</v>
      </c>
      <c r="J49" s="486"/>
      <c r="K49" s="527">
        <v>25</v>
      </c>
      <c r="L49" s="527">
        <v>18</v>
      </c>
      <c r="M49" s="527">
        <v>18</v>
      </c>
      <c r="N49" s="527">
        <v>0</v>
      </c>
      <c r="O49" s="536">
        <f t="shared" si="3"/>
        <v>61</v>
      </c>
    </row>
    <row r="50" spans="1:45" s="13" customFormat="1" x14ac:dyDescent="0.25">
      <c r="A50" s="378">
        <v>1</v>
      </c>
      <c r="B50" s="342" t="s">
        <v>100</v>
      </c>
      <c r="C50" s="339" t="s">
        <v>7</v>
      </c>
      <c r="D50" s="339" t="s">
        <v>102</v>
      </c>
      <c r="E50" s="340" t="s">
        <v>17</v>
      </c>
      <c r="F50" s="341">
        <v>0.33333333333333331</v>
      </c>
      <c r="G50" s="341">
        <v>0.41666666666666669</v>
      </c>
      <c r="H50" s="341">
        <f t="shared" si="2"/>
        <v>8.333333333333337E-2</v>
      </c>
      <c r="I50" s="486" t="s">
        <v>126</v>
      </c>
      <c r="J50" s="486"/>
      <c r="K50" s="527">
        <v>25</v>
      </c>
      <c r="L50" s="527">
        <v>18</v>
      </c>
      <c r="M50" s="527">
        <v>18</v>
      </c>
      <c r="N50" s="527">
        <v>0</v>
      </c>
      <c r="O50" s="536">
        <f t="shared" si="3"/>
        <v>61</v>
      </c>
    </row>
    <row r="51" spans="1:45" s="13" customFormat="1" x14ac:dyDescent="0.25">
      <c r="A51" s="378">
        <v>1</v>
      </c>
      <c r="B51" s="342" t="s">
        <v>100</v>
      </c>
      <c r="C51" s="339" t="s">
        <v>7</v>
      </c>
      <c r="D51" s="339" t="s">
        <v>103</v>
      </c>
      <c r="E51" s="340" t="s">
        <v>17</v>
      </c>
      <c r="F51" s="341">
        <v>0.41666666666666669</v>
      </c>
      <c r="G51" s="341">
        <v>0.5</v>
      </c>
      <c r="H51" s="341">
        <f t="shared" si="2"/>
        <v>8.3333333333333315E-2</v>
      </c>
      <c r="I51" s="486" t="s">
        <v>126</v>
      </c>
      <c r="J51" s="486"/>
      <c r="K51" s="527">
        <v>25</v>
      </c>
      <c r="L51" s="527">
        <v>18</v>
      </c>
      <c r="M51" s="527">
        <v>18</v>
      </c>
      <c r="N51" s="527">
        <v>0</v>
      </c>
      <c r="O51" s="536">
        <f t="shared" si="3"/>
        <v>61</v>
      </c>
    </row>
    <row r="52" spans="1:45" s="13" customFormat="1" x14ac:dyDescent="0.25">
      <c r="A52" s="378">
        <v>1</v>
      </c>
      <c r="B52" s="342" t="s">
        <v>96</v>
      </c>
      <c r="C52" s="339" t="s">
        <v>7</v>
      </c>
      <c r="D52" s="339" t="s">
        <v>102</v>
      </c>
      <c r="E52" s="340" t="s">
        <v>22</v>
      </c>
      <c r="F52" s="341">
        <v>0.45833333333333331</v>
      </c>
      <c r="G52" s="341">
        <v>0.5</v>
      </c>
      <c r="H52" s="341">
        <f t="shared" si="2"/>
        <v>4.1666666666666685E-2</v>
      </c>
      <c r="I52" s="486" t="s">
        <v>164</v>
      </c>
      <c r="J52" s="486"/>
      <c r="K52" s="527">
        <v>25</v>
      </c>
      <c r="L52" s="527">
        <v>18</v>
      </c>
      <c r="M52" s="527">
        <v>18</v>
      </c>
      <c r="N52" s="527">
        <v>0</v>
      </c>
      <c r="O52" s="536">
        <f t="shared" si="3"/>
        <v>61</v>
      </c>
    </row>
    <row r="53" spans="1:45" s="13" customFormat="1" x14ac:dyDescent="0.25">
      <c r="A53" s="378">
        <v>1</v>
      </c>
      <c r="B53" s="342" t="s">
        <v>96</v>
      </c>
      <c r="C53" s="339" t="s">
        <v>7</v>
      </c>
      <c r="D53" s="339" t="s">
        <v>103</v>
      </c>
      <c r="E53" s="340" t="s">
        <v>22</v>
      </c>
      <c r="F53" s="341">
        <v>0.5</v>
      </c>
      <c r="G53" s="341">
        <v>0.58333333333333337</v>
      </c>
      <c r="H53" s="341">
        <f t="shared" si="2"/>
        <v>8.333333333333337E-2</v>
      </c>
      <c r="I53" s="486" t="s">
        <v>164</v>
      </c>
      <c r="J53" s="486"/>
      <c r="K53" s="527">
        <v>25</v>
      </c>
      <c r="L53" s="527">
        <v>18</v>
      </c>
      <c r="M53" s="527">
        <v>18</v>
      </c>
      <c r="N53" s="527">
        <v>0</v>
      </c>
      <c r="O53" s="536">
        <f t="shared" si="3"/>
        <v>61</v>
      </c>
    </row>
    <row r="54" spans="1:45" s="13" customFormat="1" x14ac:dyDescent="0.25">
      <c r="A54" s="378">
        <v>1</v>
      </c>
      <c r="B54" s="342" t="s">
        <v>101</v>
      </c>
      <c r="C54" s="339" t="s">
        <v>7</v>
      </c>
      <c r="D54" s="339" t="s">
        <v>102</v>
      </c>
      <c r="E54" s="340" t="s">
        <v>14</v>
      </c>
      <c r="F54" s="341">
        <v>0.41666666666666669</v>
      </c>
      <c r="G54" s="341">
        <v>0.45833333333333331</v>
      </c>
      <c r="H54" s="341">
        <f t="shared" si="2"/>
        <v>4.166666666666663E-2</v>
      </c>
      <c r="I54" s="486"/>
      <c r="J54" s="486"/>
      <c r="K54" s="527">
        <v>25</v>
      </c>
      <c r="L54" s="527">
        <v>18</v>
      </c>
      <c r="M54" s="527">
        <v>18</v>
      </c>
      <c r="N54" s="527">
        <v>0</v>
      </c>
      <c r="O54" s="536">
        <f t="shared" si="3"/>
        <v>61</v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</row>
    <row r="55" spans="1:45" s="13" customFormat="1" x14ac:dyDescent="0.25">
      <c r="A55" s="378">
        <v>1</v>
      </c>
      <c r="B55" s="342" t="s">
        <v>101</v>
      </c>
      <c r="C55" s="339" t="s">
        <v>7</v>
      </c>
      <c r="D55" s="339" t="s">
        <v>103</v>
      </c>
      <c r="E55" s="340" t="s">
        <v>14</v>
      </c>
      <c r="F55" s="341">
        <v>0.45833333333333331</v>
      </c>
      <c r="G55" s="341">
        <v>0.54166666666666663</v>
      </c>
      <c r="H55" s="341">
        <f t="shared" si="2"/>
        <v>8.3333333333333315E-2</v>
      </c>
      <c r="I55" s="486"/>
      <c r="J55" s="486"/>
      <c r="K55" s="527">
        <v>25</v>
      </c>
      <c r="L55" s="527">
        <v>18</v>
      </c>
      <c r="M55" s="527">
        <v>18</v>
      </c>
      <c r="N55" s="527">
        <v>0</v>
      </c>
      <c r="O55" s="536">
        <f t="shared" si="3"/>
        <v>61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13" customFormat="1" x14ac:dyDescent="0.25">
      <c r="A56" s="390">
        <v>1</v>
      </c>
      <c r="B56" s="338" t="s">
        <v>95</v>
      </c>
      <c r="C56" s="339" t="s">
        <v>7</v>
      </c>
      <c r="D56" s="339" t="s">
        <v>102</v>
      </c>
      <c r="E56" s="340" t="s">
        <v>15</v>
      </c>
      <c r="F56" s="341">
        <v>0.33333333333333331</v>
      </c>
      <c r="G56" s="341">
        <v>0.41666666666666669</v>
      </c>
      <c r="H56" s="341">
        <f t="shared" si="2"/>
        <v>8.333333333333337E-2</v>
      </c>
      <c r="I56" s="338" t="s">
        <v>124</v>
      </c>
      <c r="J56" s="338"/>
      <c r="K56" s="527">
        <v>25</v>
      </c>
      <c r="L56" s="527">
        <v>18</v>
      </c>
      <c r="M56" s="527">
        <v>18</v>
      </c>
      <c r="N56" s="527">
        <v>0</v>
      </c>
      <c r="O56" s="536">
        <f t="shared" si="3"/>
        <v>61</v>
      </c>
    </row>
    <row r="57" spans="1:45" s="13" customFormat="1" ht="15.75" thickBot="1" x14ac:dyDescent="0.3">
      <c r="A57" s="537">
        <v>1</v>
      </c>
      <c r="B57" s="538" t="s">
        <v>95</v>
      </c>
      <c r="C57" s="539" t="s">
        <v>7</v>
      </c>
      <c r="D57" s="539" t="s">
        <v>103</v>
      </c>
      <c r="E57" s="540" t="s">
        <v>15</v>
      </c>
      <c r="F57" s="541">
        <v>0.41666666666666669</v>
      </c>
      <c r="G57" s="541">
        <v>0.5</v>
      </c>
      <c r="H57" s="541">
        <f t="shared" si="2"/>
        <v>8.3333333333333315E-2</v>
      </c>
      <c r="I57" s="538" t="s">
        <v>124</v>
      </c>
      <c r="J57" s="538"/>
      <c r="K57" s="542">
        <v>25</v>
      </c>
      <c r="L57" s="542">
        <v>18</v>
      </c>
      <c r="M57" s="542">
        <v>18</v>
      </c>
      <c r="N57" s="542">
        <v>0</v>
      </c>
      <c r="O57" s="543">
        <f t="shared" si="3"/>
        <v>61</v>
      </c>
    </row>
    <row r="58" spans="1:45" s="13" customFormat="1" x14ac:dyDescent="0.25">
      <c r="A58" s="544">
        <v>1</v>
      </c>
      <c r="B58" s="545" t="s">
        <v>99</v>
      </c>
      <c r="C58" s="546" t="s">
        <v>8</v>
      </c>
      <c r="D58" s="546" t="s">
        <v>102</v>
      </c>
      <c r="E58" s="547" t="s">
        <v>14</v>
      </c>
      <c r="F58" s="548">
        <v>0.33333333333333331</v>
      </c>
      <c r="G58" s="548">
        <v>0.41666666666666669</v>
      </c>
      <c r="H58" s="548">
        <f t="shared" si="2"/>
        <v>8.333333333333337E-2</v>
      </c>
      <c r="I58" s="549"/>
      <c r="J58" s="549"/>
      <c r="K58" s="555">
        <v>20</v>
      </c>
      <c r="L58" s="555">
        <v>13</v>
      </c>
      <c r="M58" s="555">
        <v>13</v>
      </c>
      <c r="N58" s="555">
        <v>13</v>
      </c>
      <c r="O58" s="556">
        <f t="shared" si="3"/>
        <v>59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13" customFormat="1" x14ac:dyDescent="0.25">
      <c r="A59" s="379">
        <v>1</v>
      </c>
      <c r="B59" s="346" t="s">
        <v>99</v>
      </c>
      <c r="C59" s="343" t="s">
        <v>8</v>
      </c>
      <c r="D59" s="343" t="s">
        <v>103</v>
      </c>
      <c r="E59" s="344" t="s">
        <v>16</v>
      </c>
      <c r="F59" s="345">
        <v>0.33333333333333331</v>
      </c>
      <c r="G59" s="345">
        <v>0.5</v>
      </c>
      <c r="H59" s="345">
        <f t="shared" si="2"/>
        <v>0.16666666666666669</v>
      </c>
      <c r="I59" s="487"/>
      <c r="J59" s="487"/>
      <c r="K59" s="557">
        <v>20</v>
      </c>
      <c r="L59" s="557">
        <v>13</v>
      </c>
      <c r="M59" s="557">
        <v>13</v>
      </c>
      <c r="N59" s="557">
        <v>13</v>
      </c>
      <c r="O59" s="558">
        <f t="shared" si="3"/>
        <v>59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13" customFormat="1" x14ac:dyDescent="0.25">
      <c r="A60" s="379">
        <v>1</v>
      </c>
      <c r="B60" s="346" t="s">
        <v>98</v>
      </c>
      <c r="C60" s="343" t="s">
        <v>8</v>
      </c>
      <c r="D60" s="343" t="s">
        <v>102</v>
      </c>
      <c r="E60" s="344" t="s">
        <v>15</v>
      </c>
      <c r="F60" s="345">
        <v>0.33333333333333331</v>
      </c>
      <c r="G60" s="345">
        <v>0.41666666666666669</v>
      </c>
      <c r="H60" s="345">
        <f t="shared" si="2"/>
        <v>8.333333333333337E-2</v>
      </c>
      <c r="I60" s="487" t="s">
        <v>166</v>
      </c>
      <c r="J60" s="487"/>
      <c r="K60" s="557">
        <v>20</v>
      </c>
      <c r="L60" s="557">
        <v>13</v>
      </c>
      <c r="M60" s="557">
        <v>13</v>
      </c>
      <c r="N60" s="557">
        <v>0</v>
      </c>
      <c r="O60" s="558">
        <f t="shared" si="3"/>
        <v>46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x14ac:dyDescent="0.25">
      <c r="A61" s="379">
        <v>1</v>
      </c>
      <c r="B61" s="346" t="s">
        <v>98</v>
      </c>
      <c r="C61" s="343" t="s">
        <v>8</v>
      </c>
      <c r="D61" s="343" t="s">
        <v>103</v>
      </c>
      <c r="E61" s="344" t="s">
        <v>15</v>
      </c>
      <c r="F61" s="345">
        <v>0.41666666666666669</v>
      </c>
      <c r="G61" s="345">
        <v>0.5</v>
      </c>
      <c r="H61" s="345">
        <f t="shared" si="2"/>
        <v>8.3333333333333315E-2</v>
      </c>
      <c r="I61" s="487" t="s">
        <v>166</v>
      </c>
      <c r="J61" s="487"/>
      <c r="K61" s="557">
        <v>20</v>
      </c>
      <c r="L61" s="557">
        <v>13</v>
      </c>
      <c r="M61" s="557">
        <v>13</v>
      </c>
      <c r="N61" s="557">
        <v>0</v>
      </c>
      <c r="O61" s="558">
        <f t="shared" si="3"/>
        <v>46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1:45" s="13" customFormat="1" x14ac:dyDescent="0.25">
      <c r="A62" s="379">
        <v>1</v>
      </c>
      <c r="B62" s="346" t="s">
        <v>98</v>
      </c>
      <c r="C62" s="343" t="s">
        <v>8</v>
      </c>
      <c r="D62" s="343" t="s">
        <v>104</v>
      </c>
      <c r="E62" s="344" t="s">
        <v>15</v>
      </c>
      <c r="F62" s="345">
        <v>0.5</v>
      </c>
      <c r="G62" s="345">
        <v>0.58333333333333337</v>
      </c>
      <c r="H62" s="345">
        <f t="shared" si="2"/>
        <v>8.333333333333337E-2</v>
      </c>
      <c r="I62" s="487" t="s">
        <v>166</v>
      </c>
      <c r="J62" s="487"/>
      <c r="K62" s="557">
        <v>20</v>
      </c>
      <c r="L62" s="557">
        <v>13</v>
      </c>
      <c r="M62" s="557">
        <v>13</v>
      </c>
      <c r="N62" s="557">
        <v>0</v>
      </c>
      <c r="O62" s="558">
        <f t="shared" si="3"/>
        <v>46</v>
      </c>
    </row>
    <row r="63" spans="1:45" s="13" customFormat="1" x14ac:dyDescent="0.25">
      <c r="A63" s="386">
        <v>1</v>
      </c>
      <c r="B63" s="358" t="s">
        <v>12</v>
      </c>
      <c r="C63" s="343" t="s">
        <v>8</v>
      </c>
      <c r="D63" s="343" t="s">
        <v>102</v>
      </c>
      <c r="E63" s="343" t="s">
        <v>13</v>
      </c>
      <c r="F63" s="270">
        <v>0.58333333333333337</v>
      </c>
      <c r="G63" s="270">
        <v>0.66666666666666663</v>
      </c>
      <c r="H63" s="270">
        <f t="shared" si="2"/>
        <v>8.3333333333333259E-2</v>
      </c>
      <c r="I63" s="487"/>
      <c r="J63" s="487"/>
      <c r="K63" s="557">
        <v>20</v>
      </c>
      <c r="L63" s="557">
        <v>13</v>
      </c>
      <c r="M63" s="557">
        <v>13</v>
      </c>
      <c r="N63" s="557">
        <v>13</v>
      </c>
      <c r="O63" s="558">
        <f t="shared" si="3"/>
        <v>59</v>
      </c>
    </row>
    <row r="64" spans="1:45" s="13" customFormat="1" x14ac:dyDescent="0.25">
      <c r="A64" s="379">
        <v>1</v>
      </c>
      <c r="B64" s="346" t="s">
        <v>12</v>
      </c>
      <c r="C64" s="343" t="s">
        <v>8</v>
      </c>
      <c r="D64" s="343" t="s">
        <v>103</v>
      </c>
      <c r="E64" s="344" t="s">
        <v>17</v>
      </c>
      <c r="F64" s="345">
        <v>0.58333333333333337</v>
      </c>
      <c r="G64" s="345">
        <v>0.75</v>
      </c>
      <c r="H64" s="345">
        <f t="shared" si="2"/>
        <v>0.16666666666666663</v>
      </c>
      <c r="I64" s="487"/>
      <c r="J64" s="487"/>
      <c r="K64" s="557">
        <v>20</v>
      </c>
      <c r="L64" s="557">
        <v>13</v>
      </c>
      <c r="M64" s="557">
        <v>13</v>
      </c>
      <c r="N64" s="557">
        <v>13</v>
      </c>
      <c r="O64" s="558">
        <f t="shared" si="3"/>
        <v>59</v>
      </c>
    </row>
    <row r="65" spans="1:45" s="13" customFormat="1" x14ac:dyDescent="0.25">
      <c r="A65" s="379">
        <v>1</v>
      </c>
      <c r="B65" s="346" t="s">
        <v>97</v>
      </c>
      <c r="C65" s="343" t="s">
        <v>8</v>
      </c>
      <c r="D65" s="343" t="s">
        <v>102</v>
      </c>
      <c r="E65" s="344" t="s">
        <v>22</v>
      </c>
      <c r="F65" s="345">
        <v>0.45833333333333331</v>
      </c>
      <c r="G65" s="345">
        <v>0.5</v>
      </c>
      <c r="H65" s="345">
        <f t="shared" si="2"/>
        <v>4.1666666666666685E-2</v>
      </c>
      <c r="I65" s="487" t="s">
        <v>168</v>
      </c>
      <c r="J65" s="487"/>
      <c r="K65" s="557">
        <v>20</v>
      </c>
      <c r="L65" s="557">
        <v>13</v>
      </c>
      <c r="M65" s="557">
        <v>13</v>
      </c>
      <c r="N65" s="557">
        <v>13</v>
      </c>
      <c r="O65" s="558">
        <f t="shared" si="3"/>
        <v>59</v>
      </c>
    </row>
    <row r="66" spans="1:45" s="13" customFormat="1" x14ac:dyDescent="0.25">
      <c r="A66" s="379">
        <v>1</v>
      </c>
      <c r="B66" s="346" t="s">
        <v>97</v>
      </c>
      <c r="C66" s="343" t="s">
        <v>8</v>
      </c>
      <c r="D66" s="343" t="s">
        <v>103</v>
      </c>
      <c r="E66" s="344" t="s">
        <v>22</v>
      </c>
      <c r="F66" s="345">
        <v>0.5</v>
      </c>
      <c r="G66" s="345">
        <v>0.58333333333333337</v>
      </c>
      <c r="H66" s="345">
        <f t="shared" si="2"/>
        <v>8.333333333333337E-2</v>
      </c>
      <c r="I66" s="487" t="s">
        <v>168</v>
      </c>
      <c r="J66" s="487"/>
      <c r="K66" s="557">
        <v>20</v>
      </c>
      <c r="L66" s="557">
        <v>13</v>
      </c>
      <c r="M66" s="557">
        <v>13</v>
      </c>
      <c r="N66" s="557">
        <v>13</v>
      </c>
      <c r="O66" s="558">
        <f t="shared" si="3"/>
        <v>59</v>
      </c>
    </row>
    <row r="67" spans="1:45" x14ac:dyDescent="0.25">
      <c r="A67" s="379">
        <v>1</v>
      </c>
      <c r="B67" s="346" t="s">
        <v>100</v>
      </c>
      <c r="C67" s="343" t="s">
        <v>8</v>
      </c>
      <c r="D67" s="343" t="s">
        <v>102</v>
      </c>
      <c r="E67" s="344" t="s">
        <v>17</v>
      </c>
      <c r="F67" s="345">
        <v>0.33333333333333331</v>
      </c>
      <c r="G67" s="345">
        <v>0.41666666666666669</v>
      </c>
      <c r="H67" s="345">
        <f t="shared" si="2"/>
        <v>8.333333333333337E-2</v>
      </c>
      <c r="I67" s="487" t="s">
        <v>172</v>
      </c>
      <c r="J67" s="487"/>
      <c r="K67" s="557">
        <v>20</v>
      </c>
      <c r="L67" s="557">
        <v>13</v>
      </c>
      <c r="M67" s="557">
        <v>13</v>
      </c>
      <c r="N67" s="557">
        <v>13</v>
      </c>
      <c r="O67" s="558">
        <f t="shared" si="3"/>
        <v>59</v>
      </c>
    </row>
    <row r="68" spans="1:45" x14ac:dyDescent="0.25">
      <c r="A68" s="379">
        <v>1</v>
      </c>
      <c r="B68" s="346" t="s">
        <v>100</v>
      </c>
      <c r="C68" s="343" t="s">
        <v>8</v>
      </c>
      <c r="D68" s="343" t="s">
        <v>103</v>
      </c>
      <c r="E68" s="344" t="s">
        <v>17</v>
      </c>
      <c r="F68" s="345">
        <v>0.41666666666666669</v>
      </c>
      <c r="G68" s="345">
        <v>0.5</v>
      </c>
      <c r="H68" s="345">
        <f t="shared" si="2"/>
        <v>8.3333333333333315E-2</v>
      </c>
      <c r="I68" s="487" t="s">
        <v>172</v>
      </c>
      <c r="J68" s="487"/>
      <c r="K68" s="557">
        <v>20</v>
      </c>
      <c r="L68" s="557">
        <v>13</v>
      </c>
      <c r="M68" s="557">
        <v>13</v>
      </c>
      <c r="N68" s="557">
        <v>13</v>
      </c>
      <c r="O68" s="558">
        <f t="shared" si="3"/>
        <v>59</v>
      </c>
    </row>
    <row r="69" spans="1:45" x14ac:dyDescent="0.25">
      <c r="A69" s="386">
        <v>1</v>
      </c>
      <c r="B69" s="358" t="s">
        <v>96</v>
      </c>
      <c r="C69" s="343" t="s">
        <v>8</v>
      </c>
      <c r="D69" s="343" t="s">
        <v>102</v>
      </c>
      <c r="E69" s="344" t="s">
        <v>14</v>
      </c>
      <c r="F69" s="270">
        <v>0.41666666666666669</v>
      </c>
      <c r="G69" s="270">
        <v>0.45833333333333331</v>
      </c>
      <c r="H69" s="270">
        <f t="shared" ref="H69:H100" si="4">G69-F69</f>
        <v>4.166666666666663E-2</v>
      </c>
      <c r="I69" s="487" t="s">
        <v>124</v>
      </c>
      <c r="J69" s="487"/>
      <c r="K69" s="557">
        <v>20</v>
      </c>
      <c r="L69" s="557">
        <v>13</v>
      </c>
      <c r="M69" s="557">
        <v>13</v>
      </c>
      <c r="N69" s="557">
        <v>13</v>
      </c>
      <c r="O69" s="558">
        <f t="shared" ref="O69:O100" si="5">SUM(K69:N69)</f>
        <v>59</v>
      </c>
    </row>
    <row r="70" spans="1:45" x14ac:dyDescent="0.25">
      <c r="A70" s="386">
        <v>1</v>
      </c>
      <c r="B70" s="358" t="s">
        <v>96</v>
      </c>
      <c r="C70" s="343" t="s">
        <v>8</v>
      </c>
      <c r="D70" s="343" t="s">
        <v>103</v>
      </c>
      <c r="E70" s="344" t="s">
        <v>14</v>
      </c>
      <c r="F70" s="270">
        <v>0.45833333333333331</v>
      </c>
      <c r="G70" s="270">
        <v>0.54166666666666663</v>
      </c>
      <c r="H70" s="270">
        <f t="shared" si="4"/>
        <v>8.3333333333333315E-2</v>
      </c>
      <c r="I70" s="487" t="s">
        <v>124</v>
      </c>
      <c r="J70" s="487"/>
      <c r="K70" s="557">
        <v>20</v>
      </c>
      <c r="L70" s="557">
        <v>13</v>
      </c>
      <c r="M70" s="557">
        <v>13</v>
      </c>
      <c r="N70" s="557">
        <v>13</v>
      </c>
      <c r="O70" s="558">
        <f t="shared" si="5"/>
        <v>59</v>
      </c>
    </row>
    <row r="71" spans="1:45" s="357" customFormat="1" x14ac:dyDescent="0.25">
      <c r="A71" s="379">
        <v>1</v>
      </c>
      <c r="B71" s="346" t="s">
        <v>101</v>
      </c>
      <c r="C71" s="343" t="s">
        <v>8</v>
      </c>
      <c r="D71" s="343" t="s">
        <v>102</v>
      </c>
      <c r="E71" s="344" t="s">
        <v>16</v>
      </c>
      <c r="F71" s="345">
        <v>0.58333333333333337</v>
      </c>
      <c r="G71" s="345">
        <v>0.625</v>
      </c>
      <c r="H71" s="345">
        <f t="shared" si="4"/>
        <v>4.166666666666663E-2</v>
      </c>
      <c r="I71" s="487" t="s">
        <v>165</v>
      </c>
      <c r="J71" s="487"/>
      <c r="K71" s="557">
        <v>20</v>
      </c>
      <c r="L71" s="557">
        <v>13</v>
      </c>
      <c r="M71" s="557">
        <v>13</v>
      </c>
      <c r="N71" s="557">
        <v>0</v>
      </c>
      <c r="O71" s="558">
        <f t="shared" si="5"/>
        <v>46</v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 spans="1:45" s="357" customFormat="1" x14ac:dyDescent="0.25">
      <c r="A72" s="379">
        <v>1</v>
      </c>
      <c r="B72" s="346" t="s">
        <v>101</v>
      </c>
      <c r="C72" s="343" t="s">
        <v>8</v>
      </c>
      <c r="D72" s="343" t="s">
        <v>103</v>
      </c>
      <c r="E72" s="344" t="s">
        <v>16</v>
      </c>
      <c r="F72" s="345">
        <v>0.625</v>
      </c>
      <c r="G72" s="345">
        <v>0.70833333333333337</v>
      </c>
      <c r="H72" s="345">
        <f t="shared" si="4"/>
        <v>8.333333333333337E-2</v>
      </c>
      <c r="I72" s="487" t="s">
        <v>165</v>
      </c>
      <c r="J72" s="487"/>
      <c r="K72" s="557">
        <v>20</v>
      </c>
      <c r="L72" s="557">
        <v>13</v>
      </c>
      <c r="M72" s="557">
        <v>13</v>
      </c>
      <c r="N72" s="557">
        <v>0</v>
      </c>
      <c r="O72" s="558">
        <f t="shared" si="5"/>
        <v>46</v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</row>
    <row r="73" spans="1:45" s="13" customFormat="1" x14ac:dyDescent="0.25">
      <c r="A73" s="391">
        <v>1</v>
      </c>
      <c r="B73" s="361" t="s">
        <v>95</v>
      </c>
      <c r="C73" s="343" t="s">
        <v>8</v>
      </c>
      <c r="D73" s="343" t="s">
        <v>102</v>
      </c>
      <c r="E73" s="344" t="s">
        <v>13</v>
      </c>
      <c r="F73" s="345">
        <v>0.33333333333333331</v>
      </c>
      <c r="G73" s="345">
        <v>0.41666666666666669</v>
      </c>
      <c r="H73" s="270">
        <f t="shared" si="4"/>
        <v>8.333333333333337E-2</v>
      </c>
      <c r="I73" s="361" t="s">
        <v>125</v>
      </c>
      <c r="J73" s="361"/>
      <c r="K73" s="557">
        <v>20</v>
      </c>
      <c r="L73" s="557">
        <v>13</v>
      </c>
      <c r="M73" s="557">
        <v>13</v>
      </c>
      <c r="N73" s="557">
        <v>13</v>
      </c>
      <c r="O73" s="558">
        <f t="shared" si="5"/>
        <v>59</v>
      </c>
    </row>
    <row r="74" spans="1:45" s="13" customFormat="1" ht="15.75" thickBot="1" x14ac:dyDescent="0.3">
      <c r="A74" s="550">
        <v>1</v>
      </c>
      <c r="B74" s="551" t="s">
        <v>95</v>
      </c>
      <c r="C74" s="552" t="s">
        <v>8</v>
      </c>
      <c r="D74" s="552" t="s">
        <v>103</v>
      </c>
      <c r="E74" s="553" t="s">
        <v>13</v>
      </c>
      <c r="F74" s="559">
        <v>0.41666666666666669</v>
      </c>
      <c r="G74" s="559">
        <v>0.5</v>
      </c>
      <c r="H74" s="554">
        <f t="shared" si="4"/>
        <v>8.3333333333333315E-2</v>
      </c>
      <c r="I74" s="551" t="s">
        <v>125</v>
      </c>
      <c r="J74" s="551"/>
      <c r="K74" s="560">
        <v>20</v>
      </c>
      <c r="L74" s="560">
        <v>13</v>
      </c>
      <c r="M74" s="560">
        <v>13</v>
      </c>
      <c r="N74" s="560">
        <v>13</v>
      </c>
      <c r="O74" s="561">
        <f t="shared" si="5"/>
        <v>59</v>
      </c>
    </row>
    <row r="75" spans="1:45" s="13" customFormat="1" x14ac:dyDescent="0.25">
      <c r="A75" s="563">
        <v>1</v>
      </c>
      <c r="B75" s="564" t="s">
        <v>99</v>
      </c>
      <c r="C75" s="565" t="s">
        <v>9</v>
      </c>
      <c r="D75" s="565" t="s">
        <v>102</v>
      </c>
      <c r="E75" s="566" t="s">
        <v>13</v>
      </c>
      <c r="F75" s="567">
        <v>0.33333333333333331</v>
      </c>
      <c r="G75" s="567">
        <v>0.41666666666666669</v>
      </c>
      <c r="H75" s="567">
        <f t="shared" si="4"/>
        <v>8.333333333333337E-2</v>
      </c>
      <c r="I75" s="568"/>
      <c r="J75" s="568"/>
      <c r="K75" s="569">
        <v>25</v>
      </c>
      <c r="L75" s="569">
        <v>18</v>
      </c>
      <c r="M75" s="569">
        <v>18</v>
      </c>
      <c r="N75" s="569">
        <v>0</v>
      </c>
      <c r="O75" s="570">
        <f t="shared" si="5"/>
        <v>61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 spans="1:45" s="13" customFormat="1" x14ac:dyDescent="0.25">
      <c r="A76" s="380">
        <v>1</v>
      </c>
      <c r="B76" s="350" t="s">
        <v>99</v>
      </c>
      <c r="C76" s="347" t="s">
        <v>9</v>
      </c>
      <c r="D76" s="347" t="s">
        <v>103</v>
      </c>
      <c r="E76" s="348" t="s">
        <v>16</v>
      </c>
      <c r="F76" s="349">
        <v>0.33333333333333331</v>
      </c>
      <c r="G76" s="349">
        <v>0.5</v>
      </c>
      <c r="H76" s="349">
        <f t="shared" si="4"/>
        <v>0.16666666666666669</v>
      </c>
      <c r="I76" s="488"/>
      <c r="J76" s="488"/>
      <c r="K76" s="562">
        <v>25</v>
      </c>
      <c r="L76" s="562">
        <v>18</v>
      </c>
      <c r="M76" s="562">
        <v>18</v>
      </c>
      <c r="N76" s="562">
        <v>0</v>
      </c>
      <c r="O76" s="571">
        <f t="shared" si="5"/>
        <v>61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 spans="1:45" s="13" customFormat="1" x14ac:dyDescent="0.25">
      <c r="A77" s="380">
        <v>1</v>
      </c>
      <c r="B77" s="350" t="s">
        <v>98</v>
      </c>
      <c r="C77" s="347" t="s">
        <v>9</v>
      </c>
      <c r="D77" s="347" t="s">
        <v>102</v>
      </c>
      <c r="E77" s="348" t="s">
        <v>14</v>
      </c>
      <c r="F77" s="349">
        <v>0.33333333333333331</v>
      </c>
      <c r="G77" s="349">
        <v>0.41666666666666669</v>
      </c>
      <c r="H77" s="349">
        <f t="shared" si="4"/>
        <v>8.333333333333337E-2</v>
      </c>
      <c r="I77" s="488" t="s">
        <v>156</v>
      </c>
      <c r="J77" s="488"/>
      <c r="K77" s="562">
        <v>25</v>
      </c>
      <c r="L77" s="562">
        <v>18</v>
      </c>
      <c r="M77" s="562">
        <v>18</v>
      </c>
      <c r="N77" s="562">
        <v>0</v>
      </c>
      <c r="O77" s="571">
        <f t="shared" si="5"/>
        <v>61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 spans="1:45" s="13" customFormat="1" x14ac:dyDescent="0.25">
      <c r="A78" s="380">
        <v>1</v>
      </c>
      <c r="B78" s="350" t="s">
        <v>98</v>
      </c>
      <c r="C78" s="347" t="s">
        <v>9</v>
      </c>
      <c r="D78" s="347" t="s">
        <v>103</v>
      </c>
      <c r="E78" s="348" t="s">
        <v>14</v>
      </c>
      <c r="F78" s="349">
        <v>0.41666666666666669</v>
      </c>
      <c r="G78" s="349">
        <v>0.5</v>
      </c>
      <c r="H78" s="349">
        <f t="shared" si="4"/>
        <v>8.3333333333333315E-2</v>
      </c>
      <c r="I78" s="488" t="s">
        <v>156</v>
      </c>
      <c r="J78" s="488"/>
      <c r="K78" s="562">
        <v>25</v>
      </c>
      <c r="L78" s="562">
        <v>18</v>
      </c>
      <c r="M78" s="562">
        <v>18</v>
      </c>
      <c r="N78" s="562">
        <v>0</v>
      </c>
      <c r="O78" s="571">
        <f t="shared" si="5"/>
        <v>61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 spans="1:45" x14ac:dyDescent="0.25">
      <c r="A79" s="380">
        <v>1</v>
      </c>
      <c r="B79" s="350" t="s">
        <v>98</v>
      </c>
      <c r="C79" s="347" t="s">
        <v>9</v>
      </c>
      <c r="D79" s="347" t="s">
        <v>104</v>
      </c>
      <c r="E79" s="348" t="s">
        <v>14</v>
      </c>
      <c r="F79" s="349">
        <v>0.5</v>
      </c>
      <c r="G79" s="349">
        <v>0.58333333333333337</v>
      </c>
      <c r="H79" s="349">
        <f t="shared" si="4"/>
        <v>8.333333333333337E-2</v>
      </c>
      <c r="I79" s="488" t="s">
        <v>156</v>
      </c>
      <c r="J79" s="488"/>
      <c r="K79" s="562">
        <v>25</v>
      </c>
      <c r="L79" s="562">
        <v>18</v>
      </c>
      <c r="M79" s="562">
        <v>18</v>
      </c>
      <c r="N79" s="562">
        <v>0</v>
      </c>
      <c r="O79" s="571">
        <f t="shared" si="5"/>
        <v>61</v>
      </c>
    </row>
    <row r="80" spans="1:45" x14ac:dyDescent="0.25">
      <c r="A80" s="380">
        <v>1</v>
      </c>
      <c r="B80" s="350" t="s">
        <v>12</v>
      </c>
      <c r="C80" s="347" t="s">
        <v>9</v>
      </c>
      <c r="D80" s="347" t="s">
        <v>102</v>
      </c>
      <c r="E80" s="348" t="s">
        <v>15</v>
      </c>
      <c r="F80" s="349">
        <v>0.33333333333333331</v>
      </c>
      <c r="G80" s="349">
        <v>0.41666666666666669</v>
      </c>
      <c r="H80" s="349">
        <f t="shared" si="4"/>
        <v>8.333333333333337E-2</v>
      </c>
      <c r="I80" s="488" t="s">
        <v>167</v>
      </c>
      <c r="J80" s="488"/>
      <c r="K80" s="562">
        <v>25</v>
      </c>
      <c r="L80" s="562">
        <v>18</v>
      </c>
      <c r="M80" s="562">
        <v>18</v>
      </c>
      <c r="N80" s="562">
        <v>0</v>
      </c>
      <c r="O80" s="571">
        <f t="shared" si="5"/>
        <v>61</v>
      </c>
    </row>
    <row r="81" spans="1:45" x14ac:dyDescent="0.25">
      <c r="A81" s="380">
        <v>1</v>
      </c>
      <c r="B81" s="350" t="s">
        <v>12</v>
      </c>
      <c r="C81" s="347" t="s">
        <v>9</v>
      </c>
      <c r="D81" s="347" t="s">
        <v>103</v>
      </c>
      <c r="E81" s="348" t="s">
        <v>17</v>
      </c>
      <c r="F81" s="349">
        <v>0.33333333333333331</v>
      </c>
      <c r="G81" s="349">
        <v>0.5</v>
      </c>
      <c r="H81" s="349">
        <f t="shared" si="4"/>
        <v>0.16666666666666669</v>
      </c>
      <c r="I81" s="488" t="s">
        <v>167</v>
      </c>
      <c r="J81" s="488"/>
      <c r="K81" s="562">
        <v>25</v>
      </c>
      <c r="L81" s="562">
        <v>18</v>
      </c>
      <c r="M81" s="562">
        <v>18</v>
      </c>
      <c r="N81" s="562">
        <v>0</v>
      </c>
      <c r="O81" s="571">
        <f t="shared" si="5"/>
        <v>61</v>
      </c>
    </row>
    <row r="82" spans="1:45" x14ac:dyDescent="0.25">
      <c r="A82" s="380">
        <v>1</v>
      </c>
      <c r="B82" s="350" t="s">
        <v>97</v>
      </c>
      <c r="C82" s="347" t="s">
        <v>9</v>
      </c>
      <c r="D82" s="347" t="s">
        <v>102</v>
      </c>
      <c r="E82" s="348" t="s">
        <v>22</v>
      </c>
      <c r="F82" s="349">
        <v>0.33333333333333331</v>
      </c>
      <c r="G82" s="349">
        <v>0.375</v>
      </c>
      <c r="H82" s="349">
        <f t="shared" si="4"/>
        <v>4.1666666666666685E-2</v>
      </c>
      <c r="I82" s="488" t="s">
        <v>162</v>
      </c>
      <c r="J82" s="488"/>
      <c r="K82" s="562">
        <v>25</v>
      </c>
      <c r="L82" s="562">
        <v>18</v>
      </c>
      <c r="M82" s="562">
        <v>18</v>
      </c>
      <c r="N82" s="562">
        <v>0</v>
      </c>
      <c r="O82" s="571">
        <f t="shared" si="5"/>
        <v>61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</row>
    <row r="83" spans="1:45" s="13" customFormat="1" x14ac:dyDescent="0.25">
      <c r="A83" s="380">
        <v>1</v>
      </c>
      <c r="B83" s="350" t="s">
        <v>97</v>
      </c>
      <c r="C83" s="347" t="s">
        <v>9</v>
      </c>
      <c r="D83" s="347" t="s">
        <v>103</v>
      </c>
      <c r="E83" s="348" t="s">
        <v>22</v>
      </c>
      <c r="F83" s="349">
        <v>0.375</v>
      </c>
      <c r="G83" s="349">
        <v>0.45833333333333331</v>
      </c>
      <c r="H83" s="349">
        <f t="shared" si="4"/>
        <v>8.3333333333333315E-2</v>
      </c>
      <c r="I83" s="488" t="s">
        <v>162</v>
      </c>
      <c r="J83" s="488"/>
      <c r="K83" s="562">
        <v>25</v>
      </c>
      <c r="L83" s="562">
        <v>18</v>
      </c>
      <c r="M83" s="562">
        <v>18</v>
      </c>
      <c r="N83" s="562">
        <v>0</v>
      </c>
      <c r="O83" s="571">
        <f t="shared" si="5"/>
        <v>61</v>
      </c>
    </row>
    <row r="84" spans="1:45" s="13" customFormat="1" x14ac:dyDescent="0.25">
      <c r="A84" s="380">
        <v>1</v>
      </c>
      <c r="B84" s="350" t="s">
        <v>100</v>
      </c>
      <c r="C84" s="347" t="s">
        <v>9</v>
      </c>
      <c r="D84" s="347" t="s">
        <v>102</v>
      </c>
      <c r="E84" s="348" t="s">
        <v>13</v>
      </c>
      <c r="F84" s="349">
        <v>0.58333333333333337</v>
      </c>
      <c r="G84" s="349">
        <v>0.66666666666666663</v>
      </c>
      <c r="H84" s="349">
        <f t="shared" si="4"/>
        <v>8.3333333333333259E-2</v>
      </c>
      <c r="I84" s="488" t="s">
        <v>163</v>
      </c>
      <c r="J84" s="488"/>
      <c r="K84" s="562">
        <v>25</v>
      </c>
      <c r="L84" s="562">
        <v>18</v>
      </c>
      <c r="M84" s="562">
        <v>18</v>
      </c>
      <c r="N84" s="562">
        <v>0</v>
      </c>
      <c r="O84" s="571">
        <f t="shared" si="5"/>
        <v>61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</row>
    <row r="85" spans="1:45" s="13" customFormat="1" x14ac:dyDescent="0.25">
      <c r="A85" s="380">
        <v>1</v>
      </c>
      <c r="B85" s="350" t="s">
        <v>100</v>
      </c>
      <c r="C85" s="347" t="s">
        <v>9</v>
      </c>
      <c r="D85" s="347" t="s">
        <v>103</v>
      </c>
      <c r="E85" s="348" t="s">
        <v>13</v>
      </c>
      <c r="F85" s="349">
        <v>0.66666666666666663</v>
      </c>
      <c r="G85" s="349">
        <v>0.75</v>
      </c>
      <c r="H85" s="349">
        <f t="shared" si="4"/>
        <v>8.333333333333337E-2</v>
      </c>
      <c r="I85" s="488" t="s">
        <v>163</v>
      </c>
      <c r="J85" s="488"/>
      <c r="K85" s="562">
        <v>25</v>
      </c>
      <c r="L85" s="562">
        <v>18</v>
      </c>
      <c r="M85" s="562">
        <v>18</v>
      </c>
      <c r="N85" s="562">
        <v>0</v>
      </c>
      <c r="O85" s="571">
        <f t="shared" si="5"/>
        <v>61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</row>
    <row r="86" spans="1:45" s="13" customFormat="1" x14ac:dyDescent="0.25">
      <c r="A86" s="380">
        <v>1</v>
      </c>
      <c r="B86" s="350" t="s">
        <v>96</v>
      </c>
      <c r="C86" s="347" t="s">
        <v>9</v>
      </c>
      <c r="D86" s="347" t="s">
        <v>102</v>
      </c>
      <c r="E86" s="348" t="s">
        <v>16</v>
      </c>
      <c r="F86" s="349">
        <v>0.58333333333333337</v>
      </c>
      <c r="G86" s="349">
        <v>0.625</v>
      </c>
      <c r="H86" s="349">
        <f t="shared" si="4"/>
        <v>4.166666666666663E-2</v>
      </c>
      <c r="I86" s="488" t="s">
        <v>164</v>
      </c>
      <c r="J86" s="488"/>
      <c r="K86" s="562">
        <v>25</v>
      </c>
      <c r="L86" s="562">
        <v>18</v>
      </c>
      <c r="M86" s="562">
        <v>18</v>
      </c>
      <c r="N86" s="562">
        <v>0</v>
      </c>
      <c r="O86" s="571">
        <f t="shared" si="5"/>
        <v>61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</row>
    <row r="87" spans="1:45" x14ac:dyDescent="0.25">
      <c r="A87" s="380">
        <v>1</v>
      </c>
      <c r="B87" s="350" t="s">
        <v>96</v>
      </c>
      <c r="C87" s="347" t="s">
        <v>9</v>
      </c>
      <c r="D87" s="347" t="s">
        <v>103</v>
      </c>
      <c r="E87" s="348" t="s">
        <v>16</v>
      </c>
      <c r="F87" s="349">
        <v>0.625</v>
      </c>
      <c r="G87" s="349">
        <v>0.70833333333333337</v>
      </c>
      <c r="H87" s="349">
        <f t="shared" si="4"/>
        <v>8.333333333333337E-2</v>
      </c>
      <c r="I87" s="488" t="s">
        <v>164</v>
      </c>
      <c r="J87" s="488"/>
      <c r="K87" s="562">
        <v>25</v>
      </c>
      <c r="L87" s="562">
        <v>18</v>
      </c>
      <c r="M87" s="562">
        <v>18</v>
      </c>
      <c r="N87" s="562">
        <v>0</v>
      </c>
      <c r="O87" s="571">
        <f t="shared" si="5"/>
        <v>61</v>
      </c>
    </row>
    <row r="88" spans="1:45" x14ac:dyDescent="0.25">
      <c r="A88" s="380">
        <v>1</v>
      </c>
      <c r="B88" s="350" t="s">
        <v>101</v>
      </c>
      <c r="C88" s="347" t="s">
        <v>9</v>
      </c>
      <c r="D88" s="347" t="s">
        <v>102</v>
      </c>
      <c r="E88" s="348" t="s">
        <v>15</v>
      </c>
      <c r="F88" s="349">
        <v>0.41666666666666669</v>
      </c>
      <c r="G88" s="349">
        <v>0.45833333333333331</v>
      </c>
      <c r="H88" s="349">
        <f t="shared" si="4"/>
        <v>4.166666666666663E-2</v>
      </c>
      <c r="I88" s="488" t="s">
        <v>170</v>
      </c>
      <c r="J88" s="488"/>
      <c r="K88" s="562">
        <v>25</v>
      </c>
      <c r="L88" s="562">
        <v>18</v>
      </c>
      <c r="M88" s="562">
        <v>18</v>
      </c>
      <c r="N88" s="562">
        <v>0</v>
      </c>
      <c r="O88" s="571">
        <f t="shared" si="5"/>
        <v>61</v>
      </c>
    </row>
    <row r="89" spans="1:45" x14ac:dyDescent="0.25">
      <c r="A89" s="380">
        <v>1</v>
      </c>
      <c r="B89" s="350" t="s">
        <v>101</v>
      </c>
      <c r="C89" s="347" t="s">
        <v>9</v>
      </c>
      <c r="D89" s="347" t="s">
        <v>103</v>
      </c>
      <c r="E89" s="348" t="s">
        <v>15</v>
      </c>
      <c r="F89" s="349">
        <v>0.45833333333333331</v>
      </c>
      <c r="G89" s="349">
        <v>0.54166666666666663</v>
      </c>
      <c r="H89" s="349">
        <f t="shared" si="4"/>
        <v>8.3333333333333315E-2</v>
      </c>
      <c r="I89" s="488" t="s">
        <v>170</v>
      </c>
      <c r="J89" s="488"/>
      <c r="K89" s="562">
        <v>25</v>
      </c>
      <c r="L89" s="562">
        <v>18</v>
      </c>
      <c r="M89" s="562">
        <v>18</v>
      </c>
      <c r="N89" s="562">
        <v>0</v>
      </c>
      <c r="O89" s="571">
        <f t="shared" si="5"/>
        <v>61</v>
      </c>
    </row>
    <row r="90" spans="1:45" x14ac:dyDescent="0.25">
      <c r="A90" s="392">
        <v>1</v>
      </c>
      <c r="B90" s="362" t="s">
        <v>95</v>
      </c>
      <c r="C90" s="347" t="s">
        <v>9</v>
      </c>
      <c r="D90" s="347" t="s">
        <v>102</v>
      </c>
      <c r="E90" s="348" t="s">
        <v>17</v>
      </c>
      <c r="F90" s="349">
        <v>0.66666666666666663</v>
      </c>
      <c r="G90" s="349">
        <v>0.75</v>
      </c>
      <c r="H90" s="349">
        <f t="shared" si="4"/>
        <v>8.333333333333337E-2</v>
      </c>
      <c r="I90" s="362" t="s">
        <v>124</v>
      </c>
      <c r="J90" s="362"/>
      <c r="K90" s="562">
        <v>25</v>
      </c>
      <c r="L90" s="562">
        <v>18</v>
      </c>
      <c r="M90" s="562">
        <v>18</v>
      </c>
      <c r="N90" s="562">
        <v>0</v>
      </c>
      <c r="O90" s="571">
        <f t="shared" si="5"/>
        <v>61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</row>
    <row r="91" spans="1:45" ht="15.75" thickBot="1" x14ac:dyDescent="0.3">
      <c r="A91" s="476">
        <v>1</v>
      </c>
      <c r="B91" s="478" t="s">
        <v>95</v>
      </c>
      <c r="C91" s="480" t="s">
        <v>9</v>
      </c>
      <c r="D91" s="480" t="s">
        <v>103</v>
      </c>
      <c r="E91" s="482" t="s">
        <v>17</v>
      </c>
      <c r="F91" s="484">
        <v>0.58333333333333337</v>
      </c>
      <c r="G91" s="484">
        <v>0.66666666666666663</v>
      </c>
      <c r="H91" s="484">
        <f t="shared" si="4"/>
        <v>8.3333333333333259E-2</v>
      </c>
      <c r="I91" s="478" t="s">
        <v>124</v>
      </c>
      <c r="J91" s="478"/>
      <c r="K91" s="572">
        <v>25</v>
      </c>
      <c r="L91" s="572">
        <v>18</v>
      </c>
      <c r="M91" s="572">
        <v>18</v>
      </c>
      <c r="N91" s="572">
        <v>0</v>
      </c>
      <c r="O91" s="573">
        <f t="shared" si="5"/>
        <v>61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</row>
    <row r="92" spans="1:45" x14ac:dyDescent="0.25">
      <c r="A92" s="475">
        <v>1</v>
      </c>
      <c r="B92" s="477" t="s">
        <v>99</v>
      </c>
      <c r="C92" s="479" t="s">
        <v>10</v>
      </c>
      <c r="D92" s="479" t="s">
        <v>102</v>
      </c>
      <c r="E92" s="481" t="s">
        <v>13</v>
      </c>
      <c r="F92" s="483">
        <v>0.33333333333333331</v>
      </c>
      <c r="G92" s="483">
        <v>0.41666666666666669</v>
      </c>
      <c r="H92" s="483">
        <f t="shared" si="4"/>
        <v>8.333333333333337E-2</v>
      </c>
      <c r="I92" s="574"/>
      <c r="J92" s="574"/>
      <c r="K92" s="575">
        <v>25</v>
      </c>
      <c r="L92" s="575">
        <v>18</v>
      </c>
      <c r="M92" s="575">
        <v>18</v>
      </c>
      <c r="N92" s="575">
        <v>0</v>
      </c>
      <c r="O92" s="576">
        <f t="shared" si="5"/>
        <v>61</v>
      </c>
    </row>
    <row r="93" spans="1:45" x14ac:dyDescent="0.25">
      <c r="A93" s="381">
        <v>1</v>
      </c>
      <c r="B93" s="353" t="s">
        <v>99</v>
      </c>
      <c r="C93" s="351" t="s">
        <v>10</v>
      </c>
      <c r="D93" s="351" t="s">
        <v>103</v>
      </c>
      <c r="E93" s="354" t="s">
        <v>16</v>
      </c>
      <c r="F93" s="352">
        <v>0.33333333333333331</v>
      </c>
      <c r="G93" s="352">
        <v>0.5</v>
      </c>
      <c r="H93" s="352">
        <f t="shared" si="4"/>
        <v>0.16666666666666669</v>
      </c>
      <c r="I93" s="489"/>
      <c r="J93" s="489"/>
      <c r="K93" s="577">
        <v>25</v>
      </c>
      <c r="L93" s="577">
        <v>18</v>
      </c>
      <c r="M93" s="577">
        <v>18</v>
      </c>
      <c r="N93" s="577">
        <v>0</v>
      </c>
      <c r="O93" s="578">
        <f t="shared" si="5"/>
        <v>61</v>
      </c>
    </row>
    <row r="94" spans="1:45" x14ac:dyDescent="0.25">
      <c r="A94" s="381">
        <v>1</v>
      </c>
      <c r="B94" s="353" t="s">
        <v>98</v>
      </c>
      <c r="C94" s="351" t="s">
        <v>10</v>
      </c>
      <c r="D94" s="351" t="s">
        <v>102</v>
      </c>
      <c r="E94" s="354" t="s">
        <v>14</v>
      </c>
      <c r="F94" s="352">
        <v>0.33333333333333331</v>
      </c>
      <c r="G94" s="352">
        <v>0.41666666666666669</v>
      </c>
      <c r="H94" s="352">
        <f t="shared" si="4"/>
        <v>8.333333333333337E-2</v>
      </c>
      <c r="I94" s="489" t="s">
        <v>166</v>
      </c>
      <c r="J94" s="489"/>
      <c r="K94" s="577">
        <v>25</v>
      </c>
      <c r="L94" s="577">
        <v>18</v>
      </c>
      <c r="M94" s="577">
        <v>18</v>
      </c>
      <c r="N94" s="577">
        <v>0</v>
      </c>
      <c r="O94" s="578">
        <f t="shared" si="5"/>
        <v>61</v>
      </c>
    </row>
    <row r="95" spans="1:45" s="13" customFormat="1" x14ac:dyDescent="0.25">
      <c r="A95" s="381">
        <v>1</v>
      </c>
      <c r="B95" s="353" t="s">
        <v>98</v>
      </c>
      <c r="C95" s="351" t="s">
        <v>10</v>
      </c>
      <c r="D95" s="351" t="s">
        <v>103</v>
      </c>
      <c r="E95" s="354" t="s">
        <v>14</v>
      </c>
      <c r="F95" s="352">
        <v>0.41666666666666669</v>
      </c>
      <c r="G95" s="352">
        <v>0.5</v>
      </c>
      <c r="H95" s="352">
        <f t="shared" si="4"/>
        <v>8.3333333333333315E-2</v>
      </c>
      <c r="I95" s="489" t="s">
        <v>166</v>
      </c>
      <c r="J95" s="489"/>
      <c r="K95" s="577">
        <v>25</v>
      </c>
      <c r="L95" s="577">
        <v>18</v>
      </c>
      <c r="M95" s="577">
        <v>18</v>
      </c>
      <c r="N95" s="577">
        <v>0</v>
      </c>
      <c r="O95" s="578">
        <f t="shared" si="5"/>
        <v>61</v>
      </c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 spans="1:45" s="13" customFormat="1" x14ac:dyDescent="0.25">
      <c r="A96" s="381">
        <v>1</v>
      </c>
      <c r="B96" s="353" t="s">
        <v>98</v>
      </c>
      <c r="C96" s="351" t="s">
        <v>10</v>
      </c>
      <c r="D96" s="351" t="s">
        <v>104</v>
      </c>
      <c r="E96" s="354" t="s">
        <v>14</v>
      </c>
      <c r="F96" s="352">
        <v>0.5</v>
      </c>
      <c r="G96" s="352">
        <v>0.58333333333333337</v>
      </c>
      <c r="H96" s="352">
        <f t="shared" si="4"/>
        <v>8.333333333333337E-2</v>
      </c>
      <c r="I96" s="489" t="s">
        <v>166</v>
      </c>
      <c r="J96" s="489"/>
      <c r="K96" s="577">
        <v>25</v>
      </c>
      <c r="L96" s="577">
        <v>18</v>
      </c>
      <c r="M96" s="577">
        <v>18</v>
      </c>
      <c r="N96" s="577">
        <v>0</v>
      </c>
      <c r="O96" s="578">
        <f t="shared" si="5"/>
        <v>61</v>
      </c>
    </row>
    <row r="97" spans="1:45" s="13" customFormat="1" x14ac:dyDescent="0.25">
      <c r="A97" s="381">
        <v>1</v>
      </c>
      <c r="B97" s="353" t="s">
        <v>12</v>
      </c>
      <c r="C97" s="351" t="s">
        <v>10</v>
      </c>
      <c r="D97" s="351" t="s">
        <v>102</v>
      </c>
      <c r="E97" s="354" t="s">
        <v>15</v>
      </c>
      <c r="F97" s="352">
        <v>0.33333333333333331</v>
      </c>
      <c r="G97" s="352">
        <v>0.41666666666666669</v>
      </c>
      <c r="H97" s="352">
        <f t="shared" si="4"/>
        <v>8.333333333333337E-2</v>
      </c>
      <c r="I97" s="489" t="s">
        <v>158</v>
      </c>
      <c r="J97" s="489"/>
      <c r="K97" s="577">
        <v>25</v>
      </c>
      <c r="L97" s="577">
        <v>18</v>
      </c>
      <c r="M97" s="577">
        <v>18</v>
      </c>
      <c r="N97" s="577">
        <v>0</v>
      </c>
      <c r="O97" s="578">
        <f t="shared" si="5"/>
        <v>61</v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</row>
    <row r="98" spans="1:45" s="13" customFormat="1" x14ac:dyDescent="0.25">
      <c r="A98" s="381">
        <v>1</v>
      </c>
      <c r="B98" s="353" t="s">
        <v>12</v>
      </c>
      <c r="C98" s="351" t="s">
        <v>10</v>
      </c>
      <c r="D98" s="351" t="s">
        <v>103</v>
      </c>
      <c r="E98" s="354" t="s">
        <v>17</v>
      </c>
      <c r="F98" s="352">
        <v>0.58333333333333337</v>
      </c>
      <c r="G98" s="352">
        <v>0.75</v>
      </c>
      <c r="H98" s="352">
        <f t="shared" si="4"/>
        <v>0.16666666666666663</v>
      </c>
      <c r="I98" s="489" t="s">
        <v>158</v>
      </c>
      <c r="J98" s="489"/>
      <c r="K98" s="577">
        <v>25</v>
      </c>
      <c r="L98" s="577">
        <v>18</v>
      </c>
      <c r="M98" s="577">
        <v>18</v>
      </c>
      <c r="N98" s="577">
        <v>0</v>
      </c>
      <c r="O98" s="578">
        <f t="shared" si="5"/>
        <v>61</v>
      </c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 spans="1:45" s="13" customFormat="1" x14ac:dyDescent="0.25">
      <c r="A99" s="381">
        <v>1</v>
      </c>
      <c r="B99" s="353" t="s">
        <v>97</v>
      </c>
      <c r="C99" s="351" t="s">
        <v>10</v>
      </c>
      <c r="D99" s="351" t="s">
        <v>102</v>
      </c>
      <c r="E99" s="354" t="s">
        <v>22</v>
      </c>
      <c r="F99" s="352">
        <v>0.45833333333333331</v>
      </c>
      <c r="G99" s="352">
        <v>0.5</v>
      </c>
      <c r="H99" s="352">
        <f t="shared" si="4"/>
        <v>4.1666666666666685E-2</v>
      </c>
      <c r="I99" s="489" t="s">
        <v>163</v>
      </c>
      <c r="J99" s="489"/>
      <c r="K99" s="577">
        <v>25</v>
      </c>
      <c r="L99" s="577">
        <v>18</v>
      </c>
      <c r="M99" s="577">
        <v>18</v>
      </c>
      <c r="N99" s="577">
        <v>0</v>
      </c>
      <c r="O99" s="578">
        <f t="shared" si="5"/>
        <v>61</v>
      </c>
    </row>
    <row r="100" spans="1:45" s="13" customFormat="1" x14ac:dyDescent="0.25">
      <c r="A100" s="381">
        <v>1</v>
      </c>
      <c r="B100" s="353" t="s">
        <v>97</v>
      </c>
      <c r="C100" s="351" t="s">
        <v>10</v>
      </c>
      <c r="D100" s="351" t="s">
        <v>103</v>
      </c>
      <c r="E100" s="354" t="s">
        <v>22</v>
      </c>
      <c r="F100" s="352">
        <v>0.5</v>
      </c>
      <c r="G100" s="352">
        <v>0.58333333333333337</v>
      </c>
      <c r="H100" s="352">
        <f t="shared" si="4"/>
        <v>8.333333333333337E-2</v>
      </c>
      <c r="I100" s="489" t="s">
        <v>163</v>
      </c>
      <c r="J100" s="489"/>
      <c r="K100" s="577">
        <v>25</v>
      </c>
      <c r="L100" s="577">
        <v>18</v>
      </c>
      <c r="M100" s="577">
        <v>18</v>
      </c>
      <c r="N100" s="577">
        <v>0</v>
      </c>
      <c r="O100" s="578">
        <f t="shared" si="5"/>
        <v>61</v>
      </c>
    </row>
    <row r="101" spans="1:45" s="13" customFormat="1" x14ac:dyDescent="0.25">
      <c r="A101" s="381">
        <v>1</v>
      </c>
      <c r="B101" s="353" t="s">
        <v>100</v>
      </c>
      <c r="C101" s="351" t="s">
        <v>10</v>
      </c>
      <c r="D101" s="351" t="s">
        <v>102</v>
      </c>
      <c r="E101" s="354" t="s">
        <v>13</v>
      </c>
      <c r="F101" s="352">
        <v>0.41666666666666669</v>
      </c>
      <c r="G101" s="352">
        <v>0.5</v>
      </c>
      <c r="H101" s="352">
        <f t="shared" ref="H101:H132" si="6">G101-F101</f>
        <v>8.3333333333333315E-2</v>
      </c>
      <c r="I101" s="490" t="s">
        <v>172</v>
      </c>
      <c r="J101" s="489"/>
      <c r="K101" s="577">
        <v>25</v>
      </c>
      <c r="L101" s="577">
        <v>18</v>
      </c>
      <c r="M101" s="577">
        <v>18</v>
      </c>
      <c r="N101" s="577">
        <v>0</v>
      </c>
      <c r="O101" s="578">
        <f t="shared" ref="O101:O132" si="7">SUM(K101:N101)</f>
        <v>61</v>
      </c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  <c r="AA101" s="357"/>
      <c r="AB101" s="357"/>
      <c r="AC101" s="357"/>
      <c r="AD101" s="357"/>
      <c r="AE101" s="357"/>
      <c r="AF101" s="357"/>
      <c r="AG101" s="357"/>
      <c r="AH101" s="357"/>
      <c r="AI101" s="357"/>
      <c r="AJ101" s="357"/>
      <c r="AK101" s="357"/>
      <c r="AL101" s="357"/>
      <c r="AM101" s="357"/>
      <c r="AN101" s="357"/>
      <c r="AO101" s="357"/>
      <c r="AP101" s="357"/>
      <c r="AQ101" s="357"/>
      <c r="AR101" s="357"/>
      <c r="AS101" s="357"/>
    </row>
    <row r="102" spans="1:45" s="13" customFormat="1" x14ac:dyDescent="0.25">
      <c r="A102" s="381">
        <v>1</v>
      </c>
      <c r="B102" s="353" t="s">
        <v>100</v>
      </c>
      <c r="C102" s="351" t="s">
        <v>10</v>
      </c>
      <c r="D102" s="351" t="s">
        <v>103</v>
      </c>
      <c r="E102" s="354" t="s">
        <v>13</v>
      </c>
      <c r="F102" s="352">
        <v>0.5</v>
      </c>
      <c r="G102" s="352">
        <v>0.58333333333333337</v>
      </c>
      <c r="H102" s="352">
        <f t="shared" si="6"/>
        <v>8.333333333333337E-2</v>
      </c>
      <c r="I102" s="490" t="s">
        <v>172</v>
      </c>
      <c r="J102" s="489"/>
      <c r="K102" s="577">
        <v>25</v>
      </c>
      <c r="L102" s="577">
        <v>18</v>
      </c>
      <c r="M102" s="577">
        <v>18</v>
      </c>
      <c r="N102" s="577">
        <v>0</v>
      </c>
      <c r="O102" s="578">
        <f t="shared" si="7"/>
        <v>61</v>
      </c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  <c r="AA102" s="357"/>
      <c r="AB102" s="357"/>
      <c r="AC102" s="357"/>
      <c r="AD102" s="357"/>
      <c r="AE102" s="357"/>
      <c r="AF102" s="357"/>
      <c r="AG102" s="357"/>
      <c r="AH102" s="357"/>
      <c r="AI102" s="357"/>
      <c r="AJ102" s="357"/>
      <c r="AK102" s="357"/>
      <c r="AL102" s="357"/>
      <c r="AM102" s="357"/>
      <c r="AN102" s="357"/>
      <c r="AO102" s="357"/>
      <c r="AP102" s="357"/>
      <c r="AQ102" s="357"/>
      <c r="AR102" s="357"/>
      <c r="AS102" s="357"/>
    </row>
    <row r="103" spans="1:45" s="13" customFormat="1" x14ac:dyDescent="0.25">
      <c r="A103" s="381">
        <v>1</v>
      </c>
      <c r="B103" s="353" t="s">
        <v>96</v>
      </c>
      <c r="C103" s="351" t="s">
        <v>10</v>
      </c>
      <c r="D103" s="351" t="s">
        <v>102</v>
      </c>
      <c r="E103" s="354" t="s">
        <v>16</v>
      </c>
      <c r="F103" s="352">
        <v>0.58333333333333337</v>
      </c>
      <c r="G103" s="352">
        <v>0.625</v>
      </c>
      <c r="H103" s="352">
        <f t="shared" si="6"/>
        <v>4.166666666666663E-2</v>
      </c>
      <c r="I103" s="490" t="s">
        <v>172</v>
      </c>
      <c r="J103" s="489"/>
      <c r="K103" s="577">
        <v>25</v>
      </c>
      <c r="L103" s="577">
        <v>18</v>
      </c>
      <c r="M103" s="577">
        <v>18</v>
      </c>
      <c r="N103" s="577">
        <v>0</v>
      </c>
      <c r="O103" s="578">
        <f t="shared" si="7"/>
        <v>61</v>
      </c>
    </row>
    <row r="104" spans="1:45" s="13" customFormat="1" x14ac:dyDescent="0.25">
      <c r="A104" s="381">
        <v>1</v>
      </c>
      <c r="B104" s="353" t="s">
        <v>96</v>
      </c>
      <c r="C104" s="351" t="s">
        <v>10</v>
      </c>
      <c r="D104" s="351" t="s">
        <v>103</v>
      </c>
      <c r="E104" s="354" t="s">
        <v>16</v>
      </c>
      <c r="F104" s="352">
        <v>0.625</v>
      </c>
      <c r="G104" s="352">
        <v>0.70833333333333337</v>
      </c>
      <c r="H104" s="352">
        <f t="shared" si="6"/>
        <v>8.333333333333337E-2</v>
      </c>
      <c r="I104" s="490" t="s">
        <v>172</v>
      </c>
      <c r="J104" s="489"/>
      <c r="K104" s="577">
        <v>25</v>
      </c>
      <c r="L104" s="577">
        <v>18</v>
      </c>
      <c r="M104" s="577">
        <v>18</v>
      </c>
      <c r="N104" s="577">
        <v>0</v>
      </c>
      <c r="O104" s="578">
        <f t="shared" si="7"/>
        <v>61</v>
      </c>
    </row>
    <row r="105" spans="1:45" s="13" customFormat="1" x14ac:dyDescent="0.25">
      <c r="A105" s="381">
        <v>1</v>
      </c>
      <c r="B105" s="353" t="s">
        <v>101</v>
      </c>
      <c r="C105" s="351" t="s">
        <v>10</v>
      </c>
      <c r="D105" s="351" t="s">
        <v>102</v>
      </c>
      <c r="E105" s="354" t="s">
        <v>15</v>
      </c>
      <c r="F105" s="352">
        <v>0.41666666666666669</v>
      </c>
      <c r="G105" s="352">
        <v>0.45833333333333331</v>
      </c>
      <c r="H105" s="352">
        <f t="shared" si="6"/>
        <v>4.166666666666663E-2</v>
      </c>
      <c r="I105" s="489" t="s">
        <v>171</v>
      </c>
      <c r="J105" s="489"/>
      <c r="K105" s="577">
        <v>25</v>
      </c>
      <c r="L105" s="577">
        <v>18</v>
      </c>
      <c r="M105" s="577">
        <v>18</v>
      </c>
      <c r="N105" s="577">
        <v>0</v>
      </c>
      <c r="O105" s="578">
        <f t="shared" si="7"/>
        <v>61</v>
      </c>
    </row>
    <row r="106" spans="1:45" s="13" customFormat="1" x14ac:dyDescent="0.25">
      <c r="A106" s="381">
        <v>1</v>
      </c>
      <c r="B106" s="353" t="s">
        <v>101</v>
      </c>
      <c r="C106" s="351" t="s">
        <v>10</v>
      </c>
      <c r="D106" s="351" t="s">
        <v>103</v>
      </c>
      <c r="E106" s="354" t="s">
        <v>15</v>
      </c>
      <c r="F106" s="352">
        <v>0.45833333333333331</v>
      </c>
      <c r="G106" s="352">
        <v>0.54166666666666663</v>
      </c>
      <c r="H106" s="352">
        <f t="shared" si="6"/>
        <v>8.3333333333333315E-2</v>
      </c>
      <c r="I106" s="489" t="s">
        <v>171</v>
      </c>
      <c r="J106" s="489"/>
      <c r="K106" s="577">
        <v>25</v>
      </c>
      <c r="L106" s="577">
        <v>18</v>
      </c>
      <c r="M106" s="577">
        <v>18</v>
      </c>
      <c r="N106" s="577">
        <v>0</v>
      </c>
      <c r="O106" s="578">
        <f t="shared" si="7"/>
        <v>61</v>
      </c>
    </row>
    <row r="107" spans="1:45" s="63" customFormat="1" x14ac:dyDescent="0.25">
      <c r="A107" s="393">
        <v>1</v>
      </c>
      <c r="B107" s="363" t="s">
        <v>95</v>
      </c>
      <c r="C107" s="351" t="s">
        <v>10</v>
      </c>
      <c r="D107" s="351" t="s">
        <v>102</v>
      </c>
      <c r="E107" s="354" t="s">
        <v>17</v>
      </c>
      <c r="F107" s="352">
        <v>0.33333333333333331</v>
      </c>
      <c r="G107" s="352">
        <v>0.41666666666666669</v>
      </c>
      <c r="H107" s="364">
        <f t="shared" si="6"/>
        <v>8.333333333333337E-2</v>
      </c>
      <c r="I107" s="363" t="s">
        <v>125</v>
      </c>
      <c r="J107" s="363"/>
      <c r="K107" s="577">
        <v>25</v>
      </c>
      <c r="L107" s="577">
        <v>18</v>
      </c>
      <c r="M107" s="577">
        <v>18</v>
      </c>
      <c r="N107" s="577">
        <v>0</v>
      </c>
      <c r="O107" s="578">
        <f t="shared" si="7"/>
        <v>61</v>
      </c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8" spans="1:45" s="63" customFormat="1" ht="15.75" thickBot="1" x14ac:dyDescent="0.3">
      <c r="A108" s="394">
        <v>1</v>
      </c>
      <c r="B108" s="395" t="s">
        <v>95</v>
      </c>
      <c r="C108" s="382" t="s">
        <v>10</v>
      </c>
      <c r="D108" s="382" t="s">
        <v>103</v>
      </c>
      <c r="E108" s="383" t="s">
        <v>17</v>
      </c>
      <c r="F108" s="384">
        <v>0.41666666666666669</v>
      </c>
      <c r="G108" s="384">
        <v>0.5</v>
      </c>
      <c r="H108" s="396">
        <f t="shared" si="6"/>
        <v>8.3333333333333315E-2</v>
      </c>
      <c r="I108" s="395" t="s">
        <v>125</v>
      </c>
      <c r="J108" s="395"/>
      <c r="K108" s="579">
        <v>25</v>
      </c>
      <c r="L108" s="579">
        <v>18</v>
      </c>
      <c r="M108" s="579">
        <v>18</v>
      </c>
      <c r="N108" s="579">
        <v>0</v>
      </c>
      <c r="O108" s="580">
        <f t="shared" si="7"/>
        <v>61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</row>
    <row r="109" spans="1:45" s="63" customFormat="1" x14ac:dyDescent="0.25">
      <c r="A109" s="397">
        <v>2</v>
      </c>
      <c r="B109" s="398" t="s">
        <v>20</v>
      </c>
      <c r="C109" s="399" t="s">
        <v>4</v>
      </c>
      <c r="D109" s="400" t="s">
        <v>102</v>
      </c>
      <c r="E109" s="401" t="s">
        <v>14</v>
      </c>
      <c r="F109" s="402">
        <v>0.33333333333333331</v>
      </c>
      <c r="G109" s="402">
        <v>0.41666666666666669</v>
      </c>
      <c r="H109" s="402">
        <f t="shared" si="6"/>
        <v>8.333333333333337E-2</v>
      </c>
      <c r="I109" s="581"/>
      <c r="J109" s="581"/>
      <c r="K109" s="398"/>
      <c r="L109" s="398"/>
      <c r="M109" s="398"/>
      <c r="N109" s="398"/>
      <c r="O109" s="582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</row>
    <row r="110" spans="1:45" s="63" customFormat="1" x14ac:dyDescent="0.25">
      <c r="A110" s="403">
        <v>2</v>
      </c>
      <c r="B110" s="365" t="s">
        <v>20</v>
      </c>
      <c r="C110" s="366" t="s">
        <v>4</v>
      </c>
      <c r="D110" s="367" t="s">
        <v>103</v>
      </c>
      <c r="E110" s="368" t="s">
        <v>16</v>
      </c>
      <c r="F110" s="369">
        <v>0.33333333333333331</v>
      </c>
      <c r="G110" s="369">
        <v>0.5</v>
      </c>
      <c r="H110" s="369">
        <f t="shared" si="6"/>
        <v>0.16666666666666669</v>
      </c>
      <c r="I110" s="485"/>
      <c r="J110" s="485"/>
      <c r="K110" s="365"/>
      <c r="L110" s="365"/>
      <c r="M110" s="365"/>
      <c r="N110" s="365"/>
      <c r="O110" s="583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</row>
    <row r="111" spans="1:45" x14ac:dyDescent="0.25">
      <c r="A111" s="403">
        <v>2</v>
      </c>
      <c r="B111" s="365" t="s">
        <v>21</v>
      </c>
      <c r="C111" s="366" t="s">
        <v>4</v>
      </c>
      <c r="D111" s="367" t="s">
        <v>102</v>
      </c>
      <c r="E111" s="368" t="s">
        <v>15</v>
      </c>
      <c r="F111" s="370">
        <v>0.33333333333333331</v>
      </c>
      <c r="G111" s="370">
        <v>0.45833333333333331</v>
      </c>
      <c r="H111" s="369">
        <f t="shared" si="6"/>
        <v>0.125</v>
      </c>
      <c r="I111" s="485"/>
      <c r="J111" s="485"/>
      <c r="K111" s="365"/>
      <c r="L111" s="365"/>
      <c r="M111" s="365"/>
      <c r="N111" s="365"/>
      <c r="O111" s="583"/>
    </row>
    <row r="112" spans="1:45" ht="15.75" thickBot="1" x14ac:dyDescent="0.3">
      <c r="A112" s="404">
        <v>2</v>
      </c>
      <c r="B112" s="405" t="s">
        <v>21</v>
      </c>
      <c r="C112" s="406" t="s">
        <v>4</v>
      </c>
      <c r="D112" s="407" t="s">
        <v>103</v>
      </c>
      <c r="E112" s="408" t="s">
        <v>15</v>
      </c>
      <c r="F112" s="409">
        <v>0.45833333333333331</v>
      </c>
      <c r="G112" s="409">
        <v>0.54166666666666663</v>
      </c>
      <c r="H112" s="410">
        <f t="shared" si="6"/>
        <v>8.3333333333333315E-2</v>
      </c>
      <c r="I112" s="584"/>
      <c r="J112" s="584"/>
      <c r="K112" s="405"/>
      <c r="L112" s="405"/>
      <c r="M112" s="405"/>
      <c r="N112" s="405"/>
      <c r="O112" s="585"/>
    </row>
  </sheetData>
  <sortState xmlns:xlrd2="http://schemas.microsoft.com/office/spreadsheetml/2017/richdata2" ref="A5:AS112">
    <sortCondition ref="A5:A112"/>
    <sortCondition ref="C5:C112"/>
    <sortCondition ref="B5:B112"/>
    <sortCondition ref="D5:D1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3327-B781-4D93-A24D-3032E8367C5E}">
  <dimension ref="A1:F144"/>
  <sheetViews>
    <sheetView topLeftCell="A78" zoomScale="175" zoomScaleNormal="175" workbookViewId="0">
      <selection activeCell="C131" sqref="C131"/>
    </sheetView>
  </sheetViews>
  <sheetFormatPr baseColWidth="10" defaultRowHeight="15" x14ac:dyDescent="0.25"/>
  <cols>
    <col min="1" max="1" width="9" customWidth="1"/>
    <col min="2" max="2" width="2.140625" bestFit="1" customWidth="1"/>
    <col min="6" max="6" width="26.140625" customWidth="1"/>
  </cols>
  <sheetData>
    <row r="1" spans="1:6" x14ac:dyDescent="0.25">
      <c r="A1" s="589" t="s">
        <v>150</v>
      </c>
      <c r="B1" s="589"/>
      <c r="C1" s="589"/>
      <c r="D1" s="589"/>
      <c r="E1" s="589"/>
      <c r="F1" s="589"/>
    </row>
    <row r="2" spans="1:6" x14ac:dyDescent="0.25">
      <c r="A2" s="589" t="s">
        <v>128</v>
      </c>
      <c r="B2" s="589"/>
      <c r="C2" s="589"/>
      <c r="D2" s="589"/>
      <c r="E2" s="589"/>
      <c r="F2" s="589"/>
    </row>
    <row r="3" spans="1:6" x14ac:dyDescent="0.25">
      <c r="A3" s="589" t="s">
        <v>129</v>
      </c>
      <c r="B3" s="589"/>
      <c r="C3" s="589"/>
      <c r="D3" s="589"/>
      <c r="E3" s="589"/>
      <c r="F3" s="589"/>
    </row>
    <row r="4" spans="1:6" x14ac:dyDescent="0.25">
      <c r="A4" s="417"/>
      <c r="B4" s="417"/>
      <c r="C4" s="417"/>
      <c r="D4" s="417"/>
      <c r="E4" s="417"/>
      <c r="F4" s="417"/>
    </row>
    <row r="5" spans="1:6" x14ac:dyDescent="0.25">
      <c r="A5" s="590" t="s">
        <v>151</v>
      </c>
      <c r="B5" s="590"/>
      <c r="C5" s="590"/>
      <c r="D5" s="590"/>
      <c r="E5" s="590"/>
      <c r="F5" s="590"/>
    </row>
    <row r="7" spans="1:6" x14ac:dyDescent="0.25">
      <c r="A7" s="586" t="s">
        <v>130</v>
      </c>
      <c r="B7" s="586"/>
      <c r="C7" s="586"/>
      <c r="D7" s="586"/>
      <c r="E7" s="586"/>
      <c r="F7" s="586"/>
    </row>
    <row r="8" spans="1:6" x14ac:dyDescent="0.25">
      <c r="A8" s="594" t="str">
        <f>EEGG!B5</f>
        <v>ÁLGEBRA Y GEOMETRÍA ANALÍTICA</v>
      </c>
      <c r="B8" s="594"/>
      <c r="C8" s="594"/>
      <c r="D8" s="594"/>
      <c r="E8" s="594"/>
      <c r="F8" s="594"/>
    </row>
    <row r="9" spans="1:6" x14ac:dyDescent="0.25">
      <c r="A9" s="415" t="s">
        <v>0</v>
      </c>
      <c r="B9" s="415" t="s">
        <v>1</v>
      </c>
      <c r="C9" s="416" t="s">
        <v>2</v>
      </c>
      <c r="D9" s="587" t="s">
        <v>131</v>
      </c>
      <c r="E9" s="587"/>
      <c r="F9" s="415" t="s">
        <v>152</v>
      </c>
    </row>
    <row r="10" spans="1:6" x14ac:dyDescent="0.25">
      <c r="A10" s="588" t="s">
        <v>132</v>
      </c>
      <c r="B10" s="412" t="s">
        <v>1</v>
      </c>
      <c r="C10" s="413" t="str">
        <f>EEGG!E5</f>
        <v>1LUNES</v>
      </c>
      <c r="D10" s="414">
        <f>EEGG!F5</f>
        <v>0.33333333333333331</v>
      </c>
      <c r="E10" s="414">
        <f>EEGG!G5</f>
        <v>0.41666666666666669</v>
      </c>
      <c r="F10" s="411" t="str">
        <f>EEGG!I5</f>
        <v>TERREROS NAVARRO, HELLEN</v>
      </c>
    </row>
    <row r="11" spans="1:6" x14ac:dyDescent="0.25">
      <c r="A11" s="588"/>
      <c r="B11" s="412" t="s">
        <v>5</v>
      </c>
      <c r="C11" s="413" t="str">
        <f>EEGG!E6</f>
        <v>5VIERNES</v>
      </c>
      <c r="D11" s="414">
        <f>EEGG!F6</f>
        <v>0.33333333333333331</v>
      </c>
      <c r="E11" s="414">
        <f>EEGG!G6</f>
        <v>0.5</v>
      </c>
      <c r="F11" s="411" t="str">
        <f>EEGG!I5</f>
        <v>TERREROS NAVARRO, HELLEN</v>
      </c>
    </row>
    <row r="12" spans="1:6" x14ac:dyDescent="0.25">
      <c r="A12" s="588" t="s">
        <v>134</v>
      </c>
      <c r="B12" s="412" t="s">
        <v>1</v>
      </c>
      <c r="C12" s="413" t="str">
        <f>EEGG!E7</f>
        <v>3MIERCOLES</v>
      </c>
      <c r="D12" s="414">
        <f>EEGG!F7</f>
        <v>0.33333333333333331</v>
      </c>
      <c r="E12" s="414">
        <f>EEGG!G7</f>
        <v>0.41666666666666669</v>
      </c>
      <c r="F12" s="411"/>
    </row>
    <row r="13" spans="1:6" x14ac:dyDescent="0.25">
      <c r="A13" s="588"/>
      <c r="B13" s="412" t="s">
        <v>5</v>
      </c>
      <c r="C13" s="413" t="str">
        <f>EEGG!E8</f>
        <v>3MIERCOLES</v>
      </c>
      <c r="D13" s="414">
        <f>EEGG!F8</f>
        <v>0.41666666666666669</v>
      </c>
      <c r="E13" s="414">
        <f>EEGG!G8</f>
        <v>0.5</v>
      </c>
      <c r="F13" s="411"/>
    </row>
    <row r="14" spans="1:6" x14ac:dyDescent="0.25">
      <c r="A14" s="588" t="s">
        <v>135</v>
      </c>
      <c r="B14" s="412" t="s">
        <v>1</v>
      </c>
      <c r="C14" s="413" t="str">
        <f>EEGG!E9</f>
        <v>3MIERCOLES</v>
      </c>
      <c r="D14" s="414">
        <f>EEGG!F9</f>
        <v>0.5</v>
      </c>
      <c r="E14" s="414">
        <f>EEGG!G9</f>
        <v>0.58333333333333337</v>
      </c>
      <c r="F14" s="411" t="str">
        <f>EEGG!I5</f>
        <v>TERREROS NAVARRO, HELLEN</v>
      </c>
    </row>
    <row r="15" spans="1:6" x14ac:dyDescent="0.25">
      <c r="A15" s="588"/>
      <c r="B15" s="412" t="s">
        <v>5</v>
      </c>
      <c r="C15" s="413" t="str">
        <f>EEGG!E10</f>
        <v>2MARTES</v>
      </c>
      <c r="D15" s="414">
        <f>EEGG!F10</f>
        <v>0.33333333333333331</v>
      </c>
      <c r="E15" s="414">
        <f>EEGG!G10</f>
        <v>0.41666666666666669</v>
      </c>
      <c r="F15" s="411" t="str">
        <f>EEGG!I5</f>
        <v>TERREROS NAVARRO, HELLEN</v>
      </c>
    </row>
    <row r="16" spans="1:6" x14ac:dyDescent="0.25">
      <c r="A16" s="588" t="s">
        <v>136</v>
      </c>
      <c r="B16" s="412" t="s">
        <v>1</v>
      </c>
      <c r="C16" s="413" t="str">
        <f>EEGG!E11</f>
        <v>4JUEVES</v>
      </c>
      <c r="D16" s="414">
        <f>EEGG!F11</f>
        <v>0.33333333333333331</v>
      </c>
      <c r="E16" s="414">
        <f>EEGG!G11</f>
        <v>0.5</v>
      </c>
      <c r="F16" s="411"/>
    </row>
    <row r="17" spans="1:6" x14ac:dyDescent="0.25">
      <c r="A17" s="588"/>
      <c r="B17" s="412" t="s">
        <v>5</v>
      </c>
      <c r="C17" s="413" t="str">
        <f>EEGG!E12</f>
        <v>4JUEVES</v>
      </c>
      <c r="D17" s="414">
        <f>EEGG!F12</f>
        <v>0.58333333333333337</v>
      </c>
      <c r="E17" s="414">
        <f>EEGG!G12</f>
        <v>0.625</v>
      </c>
      <c r="F17" s="411"/>
    </row>
    <row r="18" spans="1:6" x14ac:dyDescent="0.25">
      <c r="A18" s="588" t="s">
        <v>137</v>
      </c>
      <c r="B18" s="412" t="s">
        <v>1</v>
      </c>
      <c r="C18" s="413" t="str">
        <f>EEGG!E13</f>
        <v>4JUEVES</v>
      </c>
      <c r="D18" s="414">
        <f>EEGG!F13</f>
        <v>0.625</v>
      </c>
      <c r="E18" s="414">
        <f>EEGG!G13</f>
        <v>0.70833333333333337</v>
      </c>
      <c r="F18" s="411"/>
    </row>
    <row r="19" spans="1:6" x14ac:dyDescent="0.25">
      <c r="A19" s="588"/>
      <c r="B19" s="412" t="s">
        <v>5</v>
      </c>
      <c r="C19" s="413" t="str">
        <f>EEGG!E14</f>
        <v>3MIERCOLES</v>
      </c>
      <c r="D19" s="414">
        <f>EEGG!F14</f>
        <v>0.33333333333333331</v>
      </c>
      <c r="E19" s="414">
        <f>EEGG!G14</f>
        <v>66.458333333333329</v>
      </c>
      <c r="F19" s="411"/>
    </row>
    <row r="20" spans="1:6" x14ac:dyDescent="0.25">
      <c r="A20" s="588" t="s">
        <v>138</v>
      </c>
      <c r="B20" s="412" t="s">
        <v>1</v>
      </c>
      <c r="C20" s="413" t="str">
        <f>EEGG!E15</f>
        <v>3MIERCOLES</v>
      </c>
      <c r="D20" s="414">
        <f>EEGG!F15</f>
        <v>66.458333333333329</v>
      </c>
      <c r="E20" s="414">
        <f>EEGG!G15</f>
        <v>66.541666666666671</v>
      </c>
      <c r="F20" s="411"/>
    </row>
    <row r="21" spans="1:6" x14ac:dyDescent="0.25">
      <c r="A21" s="588"/>
      <c r="B21" s="412" t="s">
        <v>5</v>
      </c>
      <c r="C21" s="413" t="str">
        <f>EEGG!E16</f>
        <v>6SABADO</v>
      </c>
      <c r="D21" s="414">
        <f>EEGG!F16</f>
        <v>0.33333333333333331</v>
      </c>
      <c r="E21" s="414">
        <f>EEGG!G16</f>
        <v>66.416666666666671</v>
      </c>
      <c r="F21" s="411"/>
    </row>
    <row r="23" spans="1:6" x14ac:dyDescent="0.25">
      <c r="A23" s="594" t="str">
        <f>EEGG!B20</f>
        <v>PROGRAMACIÓN Y COMPUTACIÓN</v>
      </c>
      <c r="B23" s="594"/>
      <c r="C23" s="594"/>
      <c r="D23" s="594"/>
      <c r="E23" s="594"/>
      <c r="F23" s="594"/>
    </row>
    <row r="24" spans="1:6" x14ac:dyDescent="0.25">
      <c r="A24" s="415" t="s">
        <v>0</v>
      </c>
      <c r="B24" s="415" t="s">
        <v>1</v>
      </c>
      <c r="C24" s="416" t="s">
        <v>2</v>
      </c>
      <c r="D24" s="587" t="s">
        <v>131</v>
      </c>
      <c r="E24" s="587"/>
      <c r="F24" s="415" t="s">
        <v>3</v>
      </c>
    </row>
    <row r="25" spans="1:6" x14ac:dyDescent="0.25">
      <c r="A25" s="591" t="s">
        <v>132</v>
      </c>
      <c r="B25" s="412" t="s">
        <v>1</v>
      </c>
      <c r="C25" s="413" t="str">
        <f>EEGG!E17</f>
        <v>6SABADO</v>
      </c>
      <c r="D25" s="414">
        <f>EEGG!F17</f>
        <v>0.41666666666666669</v>
      </c>
      <c r="E25" s="414">
        <f>EEGG!G17</f>
        <v>0.5</v>
      </c>
      <c r="F25" s="411"/>
    </row>
    <row r="26" spans="1:6" x14ac:dyDescent="0.25">
      <c r="A26" s="592"/>
      <c r="B26" s="412" t="s">
        <v>5</v>
      </c>
      <c r="C26" s="413" t="str">
        <f>EEGG!E18</f>
        <v>2MARTES</v>
      </c>
      <c r="D26" s="414">
        <f>EEGG!F18</f>
        <v>0.58333333333333337</v>
      </c>
      <c r="E26" s="414">
        <f>EEGG!G18</f>
        <v>0.625</v>
      </c>
      <c r="F26" s="411"/>
    </row>
    <row r="27" spans="1:6" x14ac:dyDescent="0.25">
      <c r="A27" s="593"/>
      <c r="B27" s="412" t="s">
        <v>35</v>
      </c>
      <c r="C27" s="413" t="str">
        <f>EEGG!E19</f>
        <v>2MARTES</v>
      </c>
      <c r="D27" s="414">
        <f>EEGG!F19</f>
        <v>0.625</v>
      </c>
      <c r="E27" s="414">
        <f>EEGG!G19</f>
        <v>0.70833333333333337</v>
      </c>
      <c r="F27" s="411"/>
    </row>
    <row r="28" spans="1:6" x14ac:dyDescent="0.25">
      <c r="A28" s="591" t="s">
        <v>134</v>
      </c>
      <c r="B28" s="412" t="s">
        <v>1</v>
      </c>
      <c r="C28" s="413" t="str">
        <f>EEGG!E20</f>
        <v>2MARTES</v>
      </c>
      <c r="D28" s="414">
        <f>EEGG!F20</f>
        <v>0.41666666666666669</v>
      </c>
      <c r="E28" s="414">
        <f>EEGG!G20</f>
        <v>0.45833333333333331</v>
      </c>
      <c r="F28" s="411"/>
    </row>
    <row r="29" spans="1:6" x14ac:dyDescent="0.25">
      <c r="A29" s="592"/>
      <c r="B29" s="412" t="s">
        <v>5</v>
      </c>
      <c r="C29" s="413" t="str">
        <f>EEGG!E21</f>
        <v>2MARTES</v>
      </c>
      <c r="D29" s="414">
        <f>EEGG!F21</f>
        <v>0.45833333333333331</v>
      </c>
      <c r="E29" s="414">
        <f>EEGG!G21</f>
        <v>66.541666666666671</v>
      </c>
      <c r="F29" s="411"/>
    </row>
    <row r="30" spans="1:6" x14ac:dyDescent="0.25">
      <c r="A30" s="593"/>
      <c r="B30" s="412" t="s">
        <v>35</v>
      </c>
      <c r="C30" s="413" t="str">
        <f>EEGG!E22</f>
        <v>1LUNES</v>
      </c>
      <c r="D30" s="414">
        <f>EEGG!F22</f>
        <v>0.41666666666666669</v>
      </c>
      <c r="E30" s="414">
        <f>EEGG!G22</f>
        <v>0.5</v>
      </c>
      <c r="F30" s="411"/>
    </row>
    <row r="31" spans="1:6" x14ac:dyDescent="0.25">
      <c r="A31" s="591" t="s">
        <v>135</v>
      </c>
      <c r="B31" s="412" t="s">
        <v>1</v>
      </c>
      <c r="C31" s="413" t="str">
        <f>EEGG!E23</f>
        <v>1LUNES</v>
      </c>
      <c r="D31" s="414">
        <f>EEGG!F23</f>
        <v>0.5</v>
      </c>
      <c r="E31" s="414">
        <f>EEGG!G23</f>
        <v>0.58333333333333337</v>
      </c>
      <c r="F31" s="411"/>
    </row>
    <row r="32" spans="1:6" x14ac:dyDescent="0.25">
      <c r="A32" s="592"/>
      <c r="B32" s="412" t="s">
        <v>5</v>
      </c>
      <c r="C32" s="413" t="str">
        <f>EEGG!E24</f>
        <v>1LUNES</v>
      </c>
      <c r="D32" s="414">
        <f>EEGG!F24</f>
        <v>0.33333333333333331</v>
      </c>
      <c r="E32" s="414">
        <f>EEGG!G24</f>
        <v>0.41666666666666669</v>
      </c>
      <c r="F32" s="411"/>
    </row>
    <row r="33" spans="1:6" x14ac:dyDescent="0.25">
      <c r="A33" s="593"/>
      <c r="B33" s="412" t="s">
        <v>35</v>
      </c>
      <c r="C33" s="413" t="str">
        <f>EEGG!E25</f>
        <v>5VIERNES</v>
      </c>
      <c r="D33" s="414">
        <f>EEGG!F25</f>
        <v>0.33333333333333331</v>
      </c>
      <c r="E33" s="414">
        <f>EEGG!G25</f>
        <v>0.5</v>
      </c>
      <c r="F33" s="411"/>
    </row>
    <row r="34" spans="1:6" x14ac:dyDescent="0.25">
      <c r="A34" s="591" t="s">
        <v>136</v>
      </c>
      <c r="B34" s="412" t="s">
        <v>1</v>
      </c>
      <c r="C34" s="413" t="str">
        <f>EEGG!E26</f>
        <v>3MIERCOLES</v>
      </c>
      <c r="D34" s="414">
        <f>EEGG!F26</f>
        <v>0.33333333333333331</v>
      </c>
      <c r="E34" s="414">
        <f>EEGG!G26</f>
        <v>0.41666666666666669</v>
      </c>
      <c r="F34" s="411"/>
    </row>
    <row r="35" spans="1:6" x14ac:dyDescent="0.25">
      <c r="A35" s="592"/>
      <c r="B35" s="412" t="s">
        <v>5</v>
      </c>
      <c r="C35" s="413" t="str">
        <f>EEGG!E27</f>
        <v>3MIERCOLES</v>
      </c>
      <c r="D35" s="414">
        <f>EEGG!F27</f>
        <v>0.41666666666666669</v>
      </c>
      <c r="E35" s="414">
        <f>EEGG!G27</f>
        <v>0.5</v>
      </c>
      <c r="F35" s="411"/>
    </row>
    <row r="36" spans="1:6" x14ac:dyDescent="0.25">
      <c r="A36" s="593"/>
      <c r="B36" s="412" t="s">
        <v>35</v>
      </c>
      <c r="C36" s="413" t="str">
        <f>EEGG!E28</f>
        <v>3MIERCOLES</v>
      </c>
      <c r="D36" s="414">
        <f>EEGG!F28</f>
        <v>0.5</v>
      </c>
      <c r="E36" s="414">
        <f>EEGG!G28</f>
        <v>0.58333333333333337</v>
      </c>
      <c r="F36" s="411"/>
    </row>
    <row r="37" spans="1:6" x14ac:dyDescent="0.25">
      <c r="A37" s="591" t="s">
        <v>137</v>
      </c>
      <c r="B37" s="412" t="s">
        <v>1</v>
      </c>
      <c r="C37" s="413" t="str">
        <f>EEGG!E29</f>
        <v>2MARTES</v>
      </c>
      <c r="D37" s="414">
        <f>EEGG!F29</f>
        <v>0.58333333333333337</v>
      </c>
      <c r="E37" s="414">
        <f>EEGG!G29</f>
        <v>0.66666666666666663</v>
      </c>
      <c r="F37" s="411"/>
    </row>
    <row r="38" spans="1:6" x14ac:dyDescent="0.25">
      <c r="A38" s="592"/>
      <c r="B38" s="412" t="s">
        <v>5</v>
      </c>
      <c r="C38" s="413" t="str">
        <f>EEGG!E30</f>
        <v>4JUEVES</v>
      </c>
      <c r="D38" s="414">
        <f>EEGG!F30</f>
        <v>0.58333333333333337</v>
      </c>
      <c r="E38" s="414">
        <f>EEGG!G30</f>
        <v>0.75</v>
      </c>
      <c r="F38" s="411"/>
    </row>
    <row r="39" spans="1:6" x14ac:dyDescent="0.25">
      <c r="A39" s="593"/>
      <c r="B39" s="412" t="s">
        <v>35</v>
      </c>
      <c r="C39" s="413" t="str">
        <f>EEGG!E31</f>
        <v>1LUNES</v>
      </c>
      <c r="D39" s="414">
        <f>EEGG!F31</f>
        <v>0.41666666666666669</v>
      </c>
      <c r="E39" s="414">
        <f>EEGG!G31</f>
        <v>0.45833333333333331</v>
      </c>
      <c r="F39" s="411"/>
    </row>
    <row r="40" spans="1:6" x14ac:dyDescent="0.25">
      <c r="A40" s="591" t="s">
        <v>138</v>
      </c>
      <c r="B40" s="412" t="s">
        <v>1</v>
      </c>
      <c r="C40" s="413" t="str">
        <f>EEGG!E32</f>
        <v>1LUNES</v>
      </c>
      <c r="D40" s="414">
        <f>EEGG!F32</f>
        <v>0.45833333333333331</v>
      </c>
      <c r="E40" s="414">
        <f>EEGG!G32</f>
        <v>0.54166666666666663</v>
      </c>
      <c r="F40" s="411"/>
    </row>
    <row r="41" spans="1:6" x14ac:dyDescent="0.25">
      <c r="A41" s="592"/>
      <c r="B41" s="412" t="s">
        <v>5</v>
      </c>
      <c r="C41" s="413" t="str">
        <f>EEGG!E33</f>
        <v>4JUEVES</v>
      </c>
      <c r="D41" s="414">
        <f>EEGG!F33</f>
        <v>0.33333333333333331</v>
      </c>
      <c r="E41" s="414">
        <f>EEGG!G33</f>
        <v>66.416666666666671</v>
      </c>
      <c r="F41" s="411"/>
    </row>
    <row r="42" spans="1:6" x14ac:dyDescent="0.25">
      <c r="A42" s="593"/>
      <c r="B42" s="412" t="s">
        <v>35</v>
      </c>
      <c r="C42" s="413" t="str">
        <f>EEGG!E34</f>
        <v>4JUEVES</v>
      </c>
      <c r="D42" s="414">
        <f>EEGG!F34</f>
        <v>0.41666666666666669</v>
      </c>
      <c r="E42" s="414">
        <f>EEGG!G34</f>
        <v>0.5</v>
      </c>
      <c r="F42" s="411"/>
    </row>
    <row r="44" spans="1:6" x14ac:dyDescent="0.25">
      <c r="A44" s="594" t="str">
        <f>EEGG!B35</f>
        <v xml:space="preserve">METODOS DE ESTUDIOS UNIVERSITARIOS </v>
      </c>
      <c r="B44" s="594"/>
      <c r="C44" s="594"/>
      <c r="D44" s="594"/>
      <c r="E44" s="594"/>
      <c r="F44" s="594"/>
    </row>
    <row r="45" spans="1:6" x14ac:dyDescent="0.25">
      <c r="A45" s="415" t="s">
        <v>0</v>
      </c>
      <c r="B45" s="415" t="s">
        <v>1</v>
      </c>
      <c r="C45" s="416" t="s">
        <v>2</v>
      </c>
      <c r="D45" s="587" t="s">
        <v>131</v>
      </c>
      <c r="E45" s="587"/>
      <c r="F45" s="415" t="s">
        <v>3</v>
      </c>
    </row>
    <row r="46" spans="1:6" x14ac:dyDescent="0.25">
      <c r="A46" s="588" t="s">
        <v>132</v>
      </c>
      <c r="B46" s="412" t="s">
        <v>1</v>
      </c>
      <c r="C46" s="413" t="str">
        <f>EEGG!E35</f>
        <v>6SABADO</v>
      </c>
      <c r="D46" s="414">
        <f>EEGG!F35</f>
        <v>0.33333333333333331</v>
      </c>
      <c r="E46" s="414">
        <f>EEGG!G35</f>
        <v>0.375</v>
      </c>
      <c r="F46" s="411"/>
    </row>
    <row r="47" spans="1:6" x14ac:dyDescent="0.25">
      <c r="A47" s="588"/>
      <c r="B47" s="412" t="s">
        <v>5</v>
      </c>
      <c r="C47" s="413" t="str">
        <f>EEGG!E36</f>
        <v>6SABADO</v>
      </c>
      <c r="D47" s="414">
        <f>EEGG!F36</f>
        <v>0.375</v>
      </c>
      <c r="E47" s="414">
        <f>EEGG!G36</f>
        <v>0.45833333333333331</v>
      </c>
      <c r="F47" s="411"/>
    </row>
    <row r="48" spans="1:6" x14ac:dyDescent="0.25">
      <c r="A48" s="588" t="s">
        <v>134</v>
      </c>
      <c r="B48" s="412" t="s">
        <v>1</v>
      </c>
      <c r="C48" s="413" t="str">
        <f>EEGG!E37</f>
        <v>5VIERNES</v>
      </c>
      <c r="D48" s="414">
        <f>EEGG!F37</f>
        <v>0.58333333333333337</v>
      </c>
      <c r="E48" s="414">
        <f>EEGG!G37</f>
        <v>0.625</v>
      </c>
      <c r="F48" s="411"/>
    </row>
    <row r="49" spans="1:6" x14ac:dyDescent="0.25">
      <c r="A49" s="588"/>
      <c r="B49" s="412" t="s">
        <v>5</v>
      </c>
      <c r="C49" s="413" t="str">
        <f>EEGG!E38</f>
        <v>5VIERNES</v>
      </c>
      <c r="D49" s="414">
        <f>EEGG!F38</f>
        <v>0.625</v>
      </c>
      <c r="E49" s="414">
        <f>EEGG!G38</f>
        <v>0.70833333333333337</v>
      </c>
      <c r="F49" s="411"/>
    </row>
    <row r="50" spans="1:6" x14ac:dyDescent="0.25">
      <c r="A50" s="588" t="s">
        <v>135</v>
      </c>
      <c r="B50" s="412" t="s">
        <v>1</v>
      </c>
      <c r="C50" s="413" t="str">
        <f>EEGG!E39</f>
        <v>2MARTES</v>
      </c>
      <c r="D50" s="414">
        <f>EEGG!F39</f>
        <v>0.33333333333333331</v>
      </c>
      <c r="E50" s="414">
        <f>EEGG!G39</f>
        <v>0.41666666666666669</v>
      </c>
      <c r="F50" s="411"/>
    </row>
    <row r="51" spans="1:6" x14ac:dyDescent="0.25">
      <c r="A51" s="588"/>
      <c r="B51" s="412" t="s">
        <v>5</v>
      </c>
      <c r="C51" s="413" t="str">
        <f>EEGG!E40</f>
        <v>2MARTES</v>
      </c>
      <c r="D51" s="414">
        <f>EEGG!F40</f>
        <v>0.41666666666666669</v>
      </c>
      <c r="E51" s="414">
        <f>EEGG!G40</f>
        <v>0.5</v>
      </c>
      <c r="F51" s="411"/>
    </row>
    <row r="52" spans="1:6" x14ac:dyDescent="0.25">
      <c r="A52" s="588" t="s">
        <v>136</v>
      </c>
      <c r="B52" s="412" t="s">
        <v>1</v>
      </c>
      <c r="C52" s="413" t="str">
        <f>EEGG!E41</f>
        <v>2MARTES</v>
      </c>
      <c r="D52" s="414">
        <f>EEGG!F41</f>
        <v>0.33333333333333331</v>
      </c>
      <c r="E52" s="414">
        <f>EEGG!G41</f>
        <v>0.41666666666666669</v>
      </c>
      <c r="F52" s="411"/>
    </row>
    <row r="53" spans="1:6" x14ac:dyDescent="0.25">
      <c r="A53" s="588"/>
      <c r="B53" s="412" t="s">
        <v>5</v>
      </c>
      <c r="C53" s="413" t="str">
        <f>EEGG!E42</f>
        <v>4JUEVES</v>
      </c>
      <c r="D53" s="414">
        <f>EEGG!F42</f>
        <v>0.33333333333333331</v>
      </c>
      <c r="E53" s="414">
        <f>EEGG!G42</f>
        <v>0.5</v>
      </c>
      <c r="F53" s="411"/>
    </row>
    <row r="54" spans="1:6" x14ac:dyDescent="0.25">
      <c r="A54" s="588" t="s">
        <v>137</v>
      </c>
      <c r="B54" s="412" t="s">
        <v>1</v>
      </c>
      <c r="C54" s="413" t="str">
        <f>EEGG!E43</f>
        <v>1LUNES</v>
      </c>
      <c r="D54" s="414">
        <f>EEGG!F43</f>
        <v>0.33333333333333331</v>
      </c>
      <c r="E54" s="414">
        <f>EEGG!G43</f>
        <v>0.41666666666666669</v>
      </c>
      <c r="F54" s="411"/>
    </row>
    <row r="55" spans="1:6" x14ac:dyDescent="0.25">
      <c r="A55" s="588"/>
      <c r="B55" s="412" t="s">
        <v>5</v>
      </c>
      <c r="C55" s="413" t="str">
        <f>EEGG!E44</f>
        <v>1LUNES</v>
      </c>
      <c r="D55" s="414">
        <f>EEGG!F44</f>
        <v>0.41666666666666669</v>
      </c>
      <c r="E55" s="414">
        <f>EEGG!G44</f>
        <v>0.5</v>
      </c>
      <c r="F55" s="411"/>
    </row>
    <row r="56" spans="1:6" x14ac:dyDescent="0.25">
      <c r="A56" s="588" t="s">
        <v>138</v>
      </c>
      <c r="B56" s="412" t="s">
        <v>1</v>
      </c>
      <c r="C56" s="413" t="str">
        <f>EEGG!E45</f>
        <v>1LUNES</v>
      </c>
      <c r="D56" s="414">
        <f>EEGG!F45</f>
        <v>0.5</v>
      </c>
      <c r="E56" s="414">
        <f>EEGG!G45</f>
        <v>0.58333333333333337</v>
      </c>
      <c r="F56" s="411"/>
    </row>
    <row r="57" spans="1:6" x14ac:dyDescent="0.25">
      <c r="A57" s="588"/>
      <c r="B57" s="412" t="s">
        <v>5</v>
      </c>
      <c r="C57" s="413" t="str">
        <f>EEGG!E46</f>
        <v>3MIERCOLES</v>
      </c>
      <c r="D57" s="414">
        <f>EEGG!F46</f>
        <v>0.58333333333333337</v>
      </c>
      <c r="E57" s="414">
        <f>EEGG!G46</f>
        <v>66.666666666666671</v>
      </c>
      <c r="F57" s="411"/>
    </row>
    <row r="59" spans="1:6" x14ac:dyDescent="0.25">
      <c r="A59" s="594" t="str">
        <f>EEGG!B50</f>
        <v>MEDIO AMBIENTE Y DESARROLLO SOSTENIBLE</v>
      </c>
      <c r="B59" s="594"/>
      <c r="C59" s="594"/>
      <c r="D59" s="594"/>
      <c r="E59" s="594"/>
      <c r="F59" s="594"/>
    </row>
    <row r="60" spans="1:6" x14ac:dyDescent="0.25">
      <c r="A60" s="415" t="s">
        <v>0</v>
      </c>
      <c r="B60" s="415" t="s">
        <v>1</v>
      </c>
      <c r="C60" s="416" t="s">
        <v>2</v>
      </c>
      <c r="D60" s="587" t="s">
        <v>131</v>
      </c>
      <c r="E60" s="587"/>
      <c r="F60" s="415" t="s">
        <v>3</v>
      </c>
    </row>
    <row r="61" spans="1:6" x14ac:dyDescent="0.25">
      <c r="A61" s="588" t="s">
        <v>132</v>
      </c>
      <c r="B61" s="412" t="s">
        <v>1</v>
      </c>
      <c r="C61" s="413" t="str">
        <f>EEGG!E47</f>
        <v>5VIERNES</v>
      </c>
      <c r="D61" s="414">
        <f>EEGG!F47</f>
        <v>0.58333333333333337</v>
      </c>
      <c r="E61" s="414">
        <f>EEGG!G47</f>
        <v>66.75</v>
      </c>
      <c r="F61" s="411"/>
    </row>
    <row r="62" spans="1:6" x14ac:dyDescent="0.25">
      <c r="A62" s="588"/>
      <c r="B62" s="412" t="s">
        <v>5</v>
      </c>
      <c r="C62" s="413" t="str">
        <f>EEGG!E48</f>
        <v>6SABADO</v>
      </c>
      <c r="D62" s="414">
        <f>EEGG!F48</f>
        <v>0.33333333333333331</v>
      </c>
      <c r="E62" s="414">
        <f>EEGG!G48</f>
        <v>0.375</v>
      </c>
      <c r="F62" s="411"/>
    </row>
    <row r="63" spans="1:6" x14ac:dyDescent="0.25">
      <c r="A63" s="588" t="s">
        <v>134</v>
      </c>
      <c r="B63" s="412" t="s">
        <v>1</v>
      </c>
      <c r="C63" s="413" t="str">
        <f>EEGG!E49</f>
        <v>6SABADO</v>
      </c>
      <c r="D63" s="414">
        <f>EEGG!F49</f>
        <v>0.375</v>
      </c>
      <c r="E63" s="414">
        <f>EEGG!G49</f>
        <v>0.45833333333333331</v>
      </c>
      <c r="F63" s="411"/>
    </row>
    <row r="64" spans="1:6" x14ac:dyDescent="0.25">
      <c r="A64" s="588"/>
      <c r="B64" s="412" t="s">
        <v>5</v>
      </c>
      <c r="C64" s="413" t="str">
        <f>EEGG!E50</f>
        <v>5VIERNES</v>
      </c>
      <c r="D64" s="414">
        <f>EEGG!F50</f>
        <v>0.33333333333333331</v>
      </c>
      <c r="E64" s="414">
        <f>EEGG!G50</f>
        <v>0.41666666666666669</v>
      </c>
      <c r="F64" s="411"/>
    </row>
    <row r="65" spans="1:6" x14ac:dyDescent="0.25">
      <c r="A65" s="588" t="s">
        <v>135</v>
      </c>
      <c r="B65" s="412" t="s">
        <v>1</v>
      </c>
      <c r="C65" s="413" t="str">
        <f>EEGG!E51</f>
        <v>5VIERNES</v>
      </c>
      <c r="D65" s="414">
        <f>EEGG!F51</f>
        <v>0.41666666666666669</v>
      </c>
      <c r="E65" s="414">
        <f>EEGG!G51</f>
        <v>0.5</v>
      </c>
      <c r="F65" s="411"/>
    </row>
    <row r="66" spans="1:6" x14ac:dyDescent="0.25">
      <c r="A66" s="588"/>
      <c r="B66" s="412" t="s">
        <v>5</v>
      </c>
      <c r="C66" s="413" t="str">
        <f>EEGG!E52</f>
        <v>6SABADO</v>
      </c>
      <c r="D66" s="414">
        <f>EEGG!F52</f>
        <v>0.45833333333333331</v>
      </c>
      <c r="E66" s="414">
        <f>EEGG!G52</f>
        <v>0.5</v>
      </c>
      <c r="F66" s="411"/>
    </row>
    <row r="67" spans="1:6" x14ac:dyDescent="0.25">
      <c r="A67" s="588" t="s">
        <v>136</v>
      </c>
      <c r="B67" s="412" t="s">
        <v>1</v>
      </c>
      <c r="C67" s="413" t="str">
        <f>EEGG!E53</f>
        <v>6SABADO</v>
      </c>
      <c r="D67" s="414">
        <f>EEGG!F53</f>
        <v>0.5</v>
      </c>
      <c r="E67" s="414">
        <f>EEGG!G53</f>
        <v>0.58333333333333337</v>
      </c>
      <c r="F67" s="411"/>
    </row>
    <row r="68" spans="1:6" x14ac:dyDescent="0.25">
      <c r="A68" s="588"/>
      <c r="B68" s="412" t="s">
        <v>5</v>
      </c>
      <c r="C68" s="413" t="str">
        <f>EEGG!E54</f>
        <v>2MARTES</v>
      </c>
      <c r="D68" s="414">
        <f>EEGG!F54</f>
        <v>0.41666666666666669</v>
      </c>
      <c r="E68" s="414">
        <f>EEGG!G54</f>
        <v>0.45833333333333331</v>
      </c>
      <c r="F68" s="411"/>
    </row>
    <row r="69" spans="1:6" x14ac:dyDescent="0.25">
      <c r="A69" s="588" t="s">
        <v>137</v>
      </c>
      <c r="B69" s="412" t="s">
        <v>1</v>
      </c>
      <c r="C69" s="413" t="str">
        <f>EEGG!E55</f>
        <v>2MARTES</v>
      </c>
      <c r="D69" s="414">
        <f>EEGG!F55</f>
        <v>0.45833333333333331</v>
      </c>
      <c r="E69" s="414">
        <f>EEGG!G55</f>
        <v>0.54166666666666663</v>
      </c>
      <c r="F69" s="411"/>
    </row>
    <row r="70" spans="1:6" x14ac:dyDescent="0.25">
      <c r="A70" s="588"/>
      <c r="B70" s="412" t="s">
        <v>5</v>
      </c>
      <c r="C70" s="413" t="str">
        <f>EEGG!E56</f>
        <v>3MIERCOLES</v>
      </c>
      <c r="D70" s="414">
        <f>EEGG!F56</f>
        <v>0.33333333333333331</v>
      </c>
      <c r="E70" s="414">
        <f>EEGG!G56</f>
        <v>0.41666666666666669</v>
      </c>
      <c r="F70" s="411"/>
    </row>
    <row r="71" spans="1:6" x14ac:dyDescent="0.25">
      <c r="A71" s="588" t="s">
        <v>138</v>
      </c>
      <c r="B71" s="412" t="s">
        <v>1</v>
      </c>
      <c r="C71" s="413" t="str">
        <f>EEGG!E57</f>
        <v>3MIERCOLES</v>
      </c>
      <c r="D71" s="414">
        <f>EEGG!F57</f>
        <v>0.41666666666666669</v>
      </c>
      <c r="E71" s="414">
        <f>EEGG!G57</f>
        <v>0.5</v>
      </c>
      <c r="F71" s="411"/>
    </row>
    <row r="72" spans="1:6" x14ac:dyDescent="0.25">
      <c r="A72" s="588"/>
      <c r="B72" s="412" t="s">
        <v>5</v>
      </c>
      <c r="C72" s="413" t="str">
        <f>EEGG!E58</f>
        <v>2MARTES</v>
      </c>
      <c r="D72" s="414">
        <f>EEGG!F58</f>
        <v>0.33333333333333331</v>
      </c>
      <c r="E72" s="414">
        <f>EEGG!G58</f>
        <v>0.41666666666666669</v>
      </c>
      <c r="F72" s="411"/>
    </row>
    <row r="74" spans="1:6" x14ac:dyDescent="0.25">
      <c r="A74" s="594" t="str">
        <f>EEGG!B65</f>
        <v>DESARROLLO PERSONAL Y LIDERAZGO</v>
      </c>
      <c r="B74" s="594"/>
      <c r="C74" s="594"/>
      <c r="D74" s="594"/>
      <c r="E74" s="594"/>
      <c r="F74" s="594"/>
    </row>
    <row r="75" spans="1:6" x14ac:dyDescent="0.25">
      <c r="A75" s="415" t="s">
        <v>0</v>
      </c>
      <c r="B75" s="415" t="s">
        <v>1</v>
      </c>
      <c r="C75" s="416" t="s">
        <v>2</v>
      </c>
      <c r="D75" s="587" t="s">
        <v>131</v>
      </c>
      <c r="E75" s="587"/>
      <c r="F75" s="415" t="s">
        <v>3</v>
      </c>
    </row>
    <row r="76" spans="1:6" x14ac:dyDescent="0.25">
      <c r="A76" s="588" t="s">
        <v>132</v>
      </c>
      <c r="B76" s="412" t="s">
        <v>1</v>
      </c>
      <c r="C76" s="413" t="str">
        <f>EEGG!E59</f>
        <v>4JUEVES</v>
      </c>
      <c r="D76" s="414">
        <f>EEGG!F59</f>
        <v>0.33333333333333331</v>
      </c>
      <c r="E76" s="414">
        <f>EEGG!G59</f>
        <v>0.5</v>
      </c>
      <c r="F76" s="411"/>
    </row>
    <row r="77" spans="1:6" x14ac:dyDescent="0.25">
      <c r="A77" s="588"/>
      <c r="B77" s="412" t="s">
        <v>5</v>
      </c>
      <c r="C77" s="413" t="str">
        <f>EEGG!E60</f>
        <v>3MIERCOLES</v>
      </c>
      <c r="D77" s="414">
        <f>EEGG!F60</f>
        <v>0.33333333333333331</v>
      </c>
      <c r="E77" s="414">
        <f>EEGG!G60</f>
        <v>0.41666666666666669</v>
      </c>
      <c r="F77" s="411"/>
    </row>
    <row r="78" spans="1:6" x14ac:dyDescent="0.25">
      <c r="A78" s="588" t="s">
        <v>134</v>
      </c>
      <c r="B78" s="412" t="s">
        <v>1</v>
      </c>
      <c r="C78" s="413" t="str">
        <f>EEGG!E61</f>
        <v>3MIERCOLES</v>
      </c>
      <c r="D78" s="414">
        <f>EEGG!F61</f>
        <v>0.41666666666666669</v>
      </c>
      <c r="E78" s="414">
        <f>EEGG!G61</f>
        <v>0.5</v>
      </c>
      <c r="F78" s="411"/>
    </row>
    <row r="79" spans="1:6" x14ac:dyDescent="0.25">
      <c r="A79" s="588"/>
      <c r="B79" s="412" t="s">
        <v>5</v>
      </c>
      <c r="C79" s="413" t="str">
        <f>EEGG!E62</f>
        <v>3MIERCOLES</v>
      </c>
      <c r="D79" s="414">
        <f>EEGG!F62</f>
        <v>0.5</v>
      </c>
      <c r="E79" s="414">
        <f>EEGG!G62</f>
        <v>0.58333333333333337</v>
      </c>
      <c r="F79" s="411"/>
    </row>
    <row r="80" spans="1:6" x14ac:dyDescent="0.25">
      <c r="A80" s="588" t="s">
        <v>135</v>
      </c>
      <c r="B80" s="412" t="s">
        <v>1</v>
      </c>
      <c r="C80" s="413" t="str">
        <f>EEGG!E63</f>
        <v>1LUNES</v>
      </c>
      <c r="D80" s="414">
        <f>EEGG!F63</f>
        <v>0.58333333333333337</v>
      </c>
      <c r="E80" s="414">
        <f>EEGG!G63</f>
        <v>0.66666666666666663</v>
      </c>
      <c r="F80" s="411"/>
    </row>
    <row r="81" spans="1:6" x14ac:dyDescent="0.25">
      <c r="A81" s="588"/>
      <c r="B81" s="412" t="s">
        <v>5</v>
      </c>
      <c r="C81" s="413" t="str">
        <f>EEGG!E64</f>
        <v>5VIERNES</v>
      </c>
      <c r="D81" s="414">
        <f>EEGG!F64</f>
        <v>0.58333333333333337</v>
      </c>
      <c r="E81" s="414">
        <f>EEGG!G64</f>
        <v>0.75</v>
      </c>
      <c r="F81" s="411"/>
    </row>
    <row r="82" spans="1:6" x14ac:dyDescent="0.25">
      <c r="A82" s="588" t="s">
        <v>136</v>
      </c>
      <c r="B82" s="412" t="s">
        <v>1</v>
      </c>
      <c r="C82" s="413" t="str">
        <f>EEGG!E65</f>
        <v>6SABADO</v>
      </c>
      <c r="D82" s="414">
        <f>EEGG!F65</f>
        <v>0.45833333333333331</v>
      </c>
      <c r="E82" s="414">
        <f>EEGG!G65</f>
        <v>0.5</v>
      </c>
      <c r="F82" s="411"/>
    </row>
    <row r="83" spans="1:6" x14ac:dyDescent="0.25">
      <c r="A83" s="588"/>
      <c r="B83" s="412" t="s">
        <v>5</v>
      </c>
      <c r="C83" s="413" t="str">
        <f>EEGG!E66</f>
        <v>6SABADO</v>
      </c>
      <c r="D83" s="414">
        <f>EEGG!F66</f>
        <v>0.5</v>
      </c>
      <c r="E83" s="414">
        <f>EEGG!G66</f>
        <v>0.58333333333333337</v>
      </c>
      <c r="F83" s="411"/>
    </row>
    <row r="84" spans="1:6" x14ac:dyDescent="0.25">
      <c r="A84" s="588" t="s">
        <v>137</v>
      </c>
      <c r="B84" s="412" t="s">
        <v>1</v>
      </c>
      <c r="C84" s="413" t="str">
        <f>EEGG!E67</f>
        <v>5VIERNES</v>
      </c>
      <c r="D84" s="414">
        <f>EEGG!F67</f>
        <v>0.33333333333333331</v>
      </c>
      <c r="E84" s="414">
        <f>EEGG!G67</f>
        <v>0.41666666666666669</v>
      </c>
      <c r="F84" s="411"/>
    </row>
    <row r="85" spans="1:6" x14ac:dyDescent="0.25">
      <c r="A85" s="588"/>
      <c r="B85" s="412" t="s">
        <v>5</v>
      </c>
      <c r="C85" s="413" t="str">
        <f>EEGG!E68</f>
        <v>5VIERNES</v>
      </c>
      <c r="D85" s="414">
        <f>EEGG!F68</f>
        <v>0.41666666666666669</v>
      </c>
      <c r="E85" s="414">
        <f>EEGG!G68</f>
        <v>0.5</v>
      </c>
      <c r="F85" s="411"/>
    </row>
    <row r="86" spans="1:6" x14ac:dyDescent="0.25">
      <c r="A86" s="588" t="s">
        <v>138</v>
      </c>
      <c r="B86" s="412" t="s">
        <v>1</v>
      </c>
      <c r="C86" s="413" t="str">
        <f>EEGG!E69</f>
        <v>2MARTES</v>
      </c>
      <c r="D86" s="414">
        <f>EEGG!F69</f>
        <v>0.41666666666666669</v>
      </c>
      <c r="E86" s="414">
        <f>EEGG!G69</f>
        <v>0.45833333333333331</v>
      </c>
      <c r="F86" s="411"/>
    </row>
    <row r="87" spans="1:6" x14ac:dyDescent="0.25">
      <c r="A87" s="588"/>
      <c r="B87" s="412" t="s">
        <v>5</v>
      </c>
      <c r="C87" s="413" t="str">
        <f>EEGG!E70</f>
        <v>2MARTES</v>
      </c>
      <c r="D87" s="414">
        <f>EEGG!F70</f>
        <v>0.45833333333333331</v>
      </c>
      <c r="E87" s="414">
        <f>EEGG!G70</f>
        <v>0.54166666666666663</v>
      </c>
      <c r="F87" s="411"/>
    </row>
    <row r="89" spans="1:6" x14ac:dyDescent="0.25">
      <c r="A89" s="594" t="str">
        <f>EEGG!B81</f>
        <v>CALCULO 1</v>
      </c>
      <c r="B89" s="594"/>
      <c r="C89" s="594"/>
      <c r="D89" s="594"/>
      <c r="E89" s="594"/>
      <c r="F89" s="594"/>
    </row>
    <row r="90" spans="1:6" x14ac:dyDescent="0.25">
      <c r="A90" s="415" t="s">
        <v>0</v>
      </c>
      <c r="B90" s="415" t="s">
        <v>1</v>
      </c>
      <c r="C90" s="416" t="s">
        <v>2</v>
      </c>
      <c r="D90" s="587" t="s">
        <v>131</v>
      </c>
      <c r="E90" s="587"/>
      <c r="F90" s="415" t="s">
        <v>3</v>
      </c>
    </row>
    <row r="91" spans="1:6" x14ac:dyDescent="0.25">
      <c r="A91" s="588" t="s">
        <v>132</v>
      </c>
      <c r="B91" s="412" t="s">
        <v>1</v>
      </c>
      <c r="C91" s="413" t="str">
        <f>EEGG!E71</f>
        <v>4JUEVES</v>
      </c>
      <c r="D91" s="414">
        <f>EEGG!F71</f>
        <v>0.58333333333333337</v>
      </c>
      <c r="E91" s="414">
        <f>EEGG!G71</f>
        <v>0.625</v>
      </c>
      <c r="F91" s="411"/>
    </row>
    <row r="92" spans="1:6" x14ac:dyDescent="0.25">
      <c r="A92" s="588"/>
      <c r="B92" s="412" t="s">
        <v>5</v>
      </c>
      <c r="C92" s="413" t="str">
        <f>EEGG!E72</f>
        <v>4JUEVES</v>
      </c>
      <c r="D92" s="414">
        <f>EEGG!F72</f>
        <v>0.625</v>
      </c>
      <c r="E92" s="414">
        <f>EEGG!G72</f>
        <v>0.70833333333333337</v>
      </c>
      <c r="F92" s="411"/>
    </row>
    <row r="93" spans="1:6" x14ac:dyDescent="0.25">
      <c r="A93" s="588" t="s">
        <v>134</v>
      </c>
      <c r="B93" s="412" t="s">
        <v>1</v>
      </c>
      <c r="C93" s="413" t="str">
        <f>EEGG!E73</f>
        <v>1LUNES</v>
      </c>
      <c r="D93" s="414">
        <f>EEGG!F73</f>
        <v>0.33333333333333331</v>
      </c>
      <c r="E93" s="414">
        <f>EEGG!G73</f>
        <v>0.41666666666666669</v>
      </c>
      <c r="F93" s="411"/>
    </row>
    <row r="94" spans="1:6" x14ac:dyDescent="0.25">
      <c r="A94" s="588"/>
      <c r="B94" s="412" t="s">
        <v>5</v>
      </c>
      <c r="C94" s="413" t="str">
        <f>EEGG!E74</f>
        <v>1LUNES</v>
      </c>
      <c r="D94" s="414">
        <f>EEGG!F74</f>
        <v>0.41666666666666669</v>
      </c>
      <c r="E94" s="414">
        <f>EEGG!G74</f>
        <v>0.5</v>
      </c>
      <c r="F94" s="411"/>
    </row>
    <row r="95" spans="1:6" x14ac:dyDescent="0.25">
      <c r="A95" s="588" t="s">
        <v>135</v>
      </c>
      <c r="B95" s="412" t="s">
        <v>1</v>
      </c>
      <c r="C95" s="413" t="str">
        <f>EEGG!E75</f>
        <v>1LUNES</v>
      </c>
      <c r="D95" s="414">
        <f>EEGG!F75</f>
        <v>0.33333333333333331</v>
      </c>
      <c r="E95" s="414">
        <f>EEGG!G75</f>
        <v>0.41666666666666669</v>
      </c>
      <c r="F95" s="411"/>
    </row>
    <row r="96" spans="1:6" x14ac:dyDescent="0.25">
      <c r="A96" s="588"/>
      <c r="B96" s="412" t="s">
        <v>5</v>
      </c>
      <c r="C96" s="413" t="str">
        <f>EEGG!E76</f>
        <v>4JUEVES</v>
      </c>
      <c r="D96" s="414">
        <f>EEGG!F76</f>
        <v>0.33333333333333331</v>
      </c>
      <c r="E96" s="414">
        <f>EEGG!G76</f>
        <v>0.5</v>
      </c>
      <c r="F96" s="411"/>
    </row>
    <row r="97" spans="1:6" x14ac:dyDescent="0.25">
      <c r="A97" s="588" t="s">
        <v>136</v>
      </c>
      <c r="B97" s="412" t="s">
        <v>1</v>
      </c>
      <c r="C97" s="413" t="str">
        <f>EEGG!E77</f>
        <v>2MARTES</v>
      </c>
      <c r="D97" s="414">
        <f>EEGG!F77</f>
        <v>0.33333333333333331</v>
      </c>
      <c r="E97" s="414">
        <f>EEGG!G77</f>
        <v>0.41666666666666669</v>
      </c>
      <c r="F97" s="411"/>
    </row>
    <row r="98" spans="1:6" x14ac:dyDescent="0.25">
      <c r="A98" s="588"/>
      <c r="B98" s="412" t="s">
        <v>5</v>
      </c>
      <c r="C98" s="413" t="str">
        <f>EEGG!E78</f>
        <v>2MARTES</v>
      </c>
      <c r="D98" s="414">
        <f>EEGG!F78</f>
        <v>0.41666666666666669</v>
      </c>
      <c r="E98" s="414">
        <f>EEGG!G78</f>
        <v>0.5</v>
      </c>
      <c r="F98" s="411"/>
    </row>
    <row r="99" spans="1:6" x14ac:dyDescent="0.25">
      <c r="A99" s="588" t="s">
        <v>137</v>
      </c>
      <c r="B99" s="412" t="s">
        <v>1</v>
      </c>
      <c r="C99" s="413" t="str">
        <f>EEGG!E79</f>
        <v>2MARTES</v>
      </c>
      <c r="D99" s="414">
        <f>EEGG!F79</f>
        <v>0.5</v>
      </c>
      <c r="E99" s="414">
        <f>EEGG!G79</f>
        <v>0.58333333333333337</v>
      </c>
      <c r="F99" s="411"/>
    </row>
    <row r="100" spans="1:6" x14ac:dyDescent="0.25">
      <c r="A100" s="588"/>
      <c r="B100" s="412" t="s">
        <v>5</v>
      </c>
      <c r="C100" s="413" t="str">
        <f>EEGG!E80</f>
        <v>3MIERCOLES</v>
      </c>
      <c r="D100" s="414">
        <f>EEGG!F80</f>
        <v>0.33333333333333331</v>
      </c>
      <c r="E100" s="414">
        <f>EEGG!G80</f>
        <v>0.41666666666666669</v>
      </c>
      <c r="F100" s="411"/>
    </row>
    <row r="101" spans="1:6" x14ac:dyDescent="0.25">
      <c r="A101" s="588" t="s">
        <v>138</v>
      </c>
      <c r="B101" s="412" t="s">
        <v>1</v>
      </c>
      <c r="C101" s="413" t="str">
        <f>EEGG!E81</f>
        <v>5VIERNES</v>
      </c>
      <c r="D101" s="414">
        <f>EEGG!F81</f>
        <v>0.33333333333333331</v>
      </c>
      <c r="E101" s="414">
        <f>EEGG!G81</f>
        <v>0.5</v>
      </c>
      <c r="F101" s="411"/>
    </row>
    <row r="102" spans="1:6" x14ac:dyDescent="0.25">
      <c r="A102" s="588"/>
      <c r="B102" s="412" t="s">
        <v>5</v>
      </c>
      <c r="C102" s="413" t="str">
        <f>EEGG!E82</f>
        <v>6SABADO</v>
      </c>
      <c r="D102" s="414">
        <f>EEGG!F82</f>
        <v>0.33333333333333331</v>
      </c>
      <c r="E102" s="414">
        <f>EEGG!G82</f>
        <v>0.375</v>
      </c>
      <c r="F102" s="411"/>
    </row>
    <row r="104" spans="1:6" x14ac:dyDescent="0.25">
      <c r="A104" s="594" t="str">
        <f>EEGG!B83</f>
        <v>DESARROLLO PERSONAL Y LIDERAZGO</v>
      </c>
      <c r="B104" s="594"/>
      <c r="C104" s="594"/>
      <c r="D104" s="594"/>
      <c r="E104" s="594"/>
      <c r="F104" s="594"/>
    </row>
    <row r="105" spans="1:6" x14ac:dyDescent="0.25">
      <c r="A105" s="415" t="s">
        <v>0</v>
      </c>
      <c r="B105" s="415" t="s">
        <v>1</v>
      </c>
      <c r="C105" s="416" t="s">
        <v>2</v>
      </c>
      <c r="D105" s="587" t="s">
        <v>131</v>
      </c>
      <c r="E105" s="587"/>
      <c r="F105" s="415" t="s">
        <v>3</v>
      </c>
    </row>
    <row r="106" spans="1:6" x14ac:dyDescent="0.25">
      <c r="A106" s="588" t="s">
        <v>132</v>
      </c>
      <c r="B106" s="412" t="s">
        <v>1</v>
      </c>
      <c r="C106" s="413" t="str">
        <f>EEGG!E83</f>
        <v>6SABADO</v>
      </c>
      <c r="D106" s="414">
        <f>EEGG!F83</f>
        <v>0.375</v>
      </c>
      <c r="E106" s="414">
        <f>EEGG!G83</f>
        <v>0.45833333333333331</v>
      </c>
      <c r="F106" s="411"/>
    </row>
    <row r="107" spans="1:6" x14ac:dyDescent="0.25">
      <c r="A107" s="588"/>
      <c r="B107" s="412" t="s">
        <v>5</v>
      </c>
      <c r="C107" s="413" t="str">
        <f>EEGG!E84</f>
        <v>1LUNES</v>
      </c>
      <c r="D107" s="414">
        <f>EEGG!F84</f>
        <v>0.58333333333333337</v>
      </c>
      <c r="E107" s="414">
        <f>EEGG!G84</f>
        <v>0.66666666666666663</v>
      </c>
      <c r="F107" s="411"/>
    </row>
    <row r="108" spans="1:6" x14ac:dyDescent="0.25">
      <c r="A108" s="588" t="s">
        <v>134</v>
      </c>
      <c r="B108" s="412" t="s">
        <v>1</v>
      </c>
      <c r="C108" s="413" t="str">
        <f>EEGG!E85</f>
        <v>1LUNES</v>
      </c>
      <c r="D108" s="414">
        <f>EEGG!F85</f>
        <v>0.66666666666666663</v>
      </c>
      <c r="E108" s="414">
        <f>EEGG!G85</f>
        <v>0.75</v>
      </c>
      <c r="F108" s="411"/>
    </row>
    <row r="109" spans="1:6" x14ac:dyDescent="0.25">
      <c r="A109" s="588"/>
      <c r="B109" s="412" t="s">
        <v>5</v>
      </c>
      <c r="C109" s="413" t="str">
        <f>EEGG!E86</f>
        <v>4JUEVES</v>
      </c>
      <c r="D109" s="414">
        <f>EEGG!F86</f>
        <v>0.58333333333333337</v>
      </c>
      <c r="E109" s="414">
        <f>EEGG!G86</f>
        <v>0.625</v>
      </c>
      <c r="F109" s="411"/>
    </row>
    <row r="110" spans="1:6" x14ac:dyDescent="0.25">
      <c r="A110" s="588" t="s">
        <v>135</v>
      </c>
      <c r="B110" s="412" t="s">
        <v>1</v>
      </c>
      <c r="C110" s="413" t="str">
        <f>EEGG!E87</f>
        <v>4JUEVES</v>
      </c>
      <c r="D110" s="414">
        <f>EEGG!F87</f>
        <v>0.625</v>
      </c>
      <c r="E110" s="414">
        <f>EEGG!G87</f>
        <v>0.70833333333333337</v>
      </c>
      <c r="F110" s="411"/>
    </row>
    <row r="111" spans="1:6" x14ac:dyDescent="0.25">
      <c r="A111" s="588"/>
      <c r="B111" s="412" t="s">
        <v>5</v>
      </c>
      <c r="C111" s="413" t="str">
        <f>EEGG!E88</f>
        <v>3MIERCOLES</v>
      </c>
      <c r="D111" s="414">
        <f>EEGG!F88</f>
        <v>0.41666666666666669</v>
      </c>
      <c r="E111" s="414">
        <f>EEGG!G88</f>
        <v>0.45833333333333331</v>
      </c>
      <c r="F111" s="411"/>
    </row>
    <row r="112" spans="1:6" x14ac:dyDescent="0.25">
      <c r="A112" s="588" t="s">
        <v>136</v>
      </c>
      <c r="B112" s="412" t="s">
        <v>1</v>
      </c>
      <c r="C112" s="413" t="str">
        <f>EEGG!E89</f>
        <v>3MIERCOLES</v>
      </c>
      <c r="D112" s="414">
        <f>EEGG!F89</f>
        <v>0.45833333333333331</v>
      </c>
      <c r="E112" s="414">
        <f>EEGG!G89</f>
        <v>0.54166666666666663</v>
      </c>
      <c r="F112" s="411"/>
    </row>
    <row r="113" spans="1:6" x14ac:dyDescent="0.25">
      <c r="A113" s="588"/>
      <c r="B113" s="412" t="s">
        <v>5</v>
      </c>
      <c r="C113" s="413" t="str">
        <f>EEGG!E90</f>
        <v>5VIERNES</v>
      </c>
      <c r="D113" s="414">
        <f>EEGG!F90</f>
        <v>0.66666666666666663</v>
      </c>
      <c r="E113" s="414">
        <f>EEGG!G90</f>
        <v>0.75</v>
      </c>
      <c r="F113" s="411"/>
    </row>
    <row r="114" spans="1:6" x14ac:dyDescent="0.25">
      <c r="A114" s="588" t="s">
        <v>137</v>
      </c>
      <c r="B114" s="412" t="s">
        <v>1</v>
      </c>
      <c r="C114" s="413" t="str">
        <f>EEGG!E91</f>
        <v>5VIERNES</v>
      </c>
      <c r="D114" s="414">
        <f>EEGG!F91</f>
        <v>0.58333333333333337</v>
      </c>
      <c r="E114" s="414">
        <f>EEGG!G91</f>
        <v>0.66666666666666663</v>
      </c>
      <c r="F114" s="411"/>
    </row>
    <row r="115" spans="1:6" x14ac:dyDescent="0.25">
      <c r="A115" s="588"/>
      <c r="B115" s="412" t="s">
        <v>5</v>
      </c>
      <c r="C115" s="413" t="str">
        <f>EEGG!E92</f>
        <v>1LUNES</v>
      </c>
      <c r="D115" s="414">
        <f>EEGG!F92</f>
        <v>0.33333333333333331</v>
      </c>
      <c r="E115" s="414">
        <f>EEGG!G92</f>
        <v>0.41666666666666669</v>
      </c>
      <c r="F115" s="411"/>
    </row>
    <row r="116" spans="1:6" x14ac:dyDescent="0.25">
      <c r="A116" s="588" t="s">
        <v>138</v>
      </c>
      <c r="B116" s="412" t="s">
        <v>1</v>
      </c>
      <c r="C116" s="413" t="str">
        <f>EEGG!E93</f>
        <v>4JUEVES</v>
      </c>
      <c r="D116" s="414">
        <f>EEGG!F93</f>
        <v>0.33333333333333331</v>
      </c>
      <c r="E116" s="414">
        <f>EEGG!G93</f>
        <v>0.5</v>
      </c>
      <c r="F116" s="411"/>
    </row>
    <row r="117" spans="1:6" x14ac:dyDescent="0.25">
      <c r="A117" s="588"/>
      <c r="B117" s="412" t="s">
        <v>5</v>
      </c>
      <c r="C117" s="413" t="str">
        <f>EEGG!E94</f>
        <v>2MARTES</v>
      </c>
      <c r="D117" s="414">
        <f>EEGG!F94</f>
        <v>0.33333333333333331</v>
      </c>
      <c r="E117" s="414">
        <f>EEGG!G94</f>
        <v>0.41666666666666669</v>
      </c>
      <c r="F117" s="411"/>
    </row>
    <row r="119" spans="1:6" x14ac:dyDescent="0.25">
      <c r="A119" s="594" t="str">
        <f>EEGG!B98</f>
        <v>CALCULO 1</v>
      </c>
      <c r="B119" s="594"/>
      <c r="C119" s="594"/>
      <c r="D119" s="594"/>
      <c r="E119" s="594"/>
      <c r="F119" s="594"/>
    </row>
    <row r="120" spans="1:6" x14ac:dyDescent="0.25">
      <c r="A120" s="415" t="s">
        <v>0</v>
      </c>
      <c r="B120" s="415" t="s">
        <v>1</v>
      </c>
      <c r="C120" s="416" t="s">
        <v>2</v>
      </c>
      <c r="D120" s="587" t="s">
        <v>131</v>
      </c>
      <c r="E120" s="587"/>
      <c r="F120" s="415" t="s">
        <v>3</v>
      </c>
    </row>
    <row r="121" spans="1:6" x14ac:dyDescent="0.25">
      <c r="A121" s="588" t="s">
        <v>132</v>
      </c>
      <c r="B121" s="412" t="s">
        <v>1</v>
      </c>
      <c r="C121" s="413" t="str">
        <f>EEGG!E95</f>
        <v>2MARTES</v>
      </c>
      <c r="D121" s="414">
        <f>EEGG!F95</f>
        <v>0.41666666666666669</v>
      </c>
      <c r="E121" s="414">
        <f>EEGG!G95</f>
        <v>0.5</v>
      </c>
      <c r="F121" s="411"/>
    </row>
    <row r="122" spans="1:6" x14ac:dyDescent="0.25">
      <c r="A122" s="588"/>
      <c r="B122" s="412" t="s">
        <v>5</v>
      </c>
      <c r="C122" s="413" t="str">
        <f>EEGG!E96</f>
        <v>2MARTES</v>
      </c>
      <c r="D122" s="414">
        <f>EEGG!F96</f>
        <v>0.5</v>
      </c>
      <c r="E122" s="414">
        <f>EEGG!G96</f>
        <v>0.58333333333333337</v>
      </c>
      <c r="F122" s="411"/>
    </row>
    <row r="123" spans="1:6" x14ac:dyDescent="0.25">
      <c r="A123" s="588" t="s">
        <v>134</v>
      </c>
      <c r="B123" s="412" t="s">
        <v>1</v>
      </c>
      <c r="C123" s="413" t="str">
        <f>EEGG!E97</f>
        <v>3MIERCOLES</v>
      </c>
      <c r="D123" s="414">
        <f>EEGG!F97</f>
        <v>0.33333333333333331</v>
      </c>
      <c r="E123" s="414">
        <f>EEGG!G97</f>
        <v>0.41666666666666669</v>
      </c>
      <c r="F123" s="411"/>
    </row>
    <row r="124" spans="1:6" x14ac:dyDescent="0.25">
      <c r="A124" s="588"/>
      <c r="B124" s="412" t="s">
        <v>5</v>
      </c>
      <c r="C124" s="413" t="str">
        <f>EEGG!E98</f>
        <v>5VIERNES</v>
      </c>
      <c r="D124" s="414">
        <f>EEGG!F98</f>
        <v>0.58333333333333337</v>
      </c>
      <c r="E124" s="414">
        <f>EEGG!G98</f>
        <v>0.75</v>
      </c>
      <c r="F124" s="411"/>
    </row>
    <row r="125" spans="1:6" x14ac:dyDescent="0.25">
      <c r="A125" s="588" t="s">
        <v>135</v>
      </c>
      <c r="B125" s="412" t="s">
        <v>1</v>
      </c>
      <c r="C125" s="413" t="str">
        <f>EEGG!E99</f>
        <v>6SABADO</v>
      </c>
      <c r="D125" s="414">
        <f>EEGG!F99</f>
        <v>0.45833333333333331</v>
      </c>
      <c r="E125" s="414">
        <f>EEGG!G99</f>
        <v>0.5</v>
      </c>
      <c r="F125" s="411"/>
    </row>
    <row r="126" spans="1:6" x14ac:dyDescent="0.25">
      <c r="A126" s="588"/>
      <c r="B126" s="412" t="s">
        <v>5</v>
      </c>
      <c r="C126" s="413" t="str">
        <f>EEGG!E100</f>
        <v>6SABADO</v>
      </c>
      <c r="D126" s="414">
        <f>EEGG!F100</f>
        <v>0.5</v>
      </c>
      <c r="E126" s="414">
        <f>EEGG!G100</f>
        <v>0.58333333333333337</v>
      </c>
      <c r="F126" s="411"/>
    </row>
    <row r="127" spans="1:6" x14ac:dyDescent="0.25">
      <c r="A127" s="588" t="s">
        <v>136</v>
      </c>
      <c r="B127" s="412" t="s">
        <v>1</v>
      </c>
      <c r="C127" s="413" t="str">
        <f>EEGG!E101</f>
        <v>1LUNES</v>
      </c>
      <c r="D127" s="414">
        <f>EEGG!F101</f>
        <v>0.41666666666666669</v>
      </c>
      <c r="E127" s="414">
        <f>EEGG!G101</f>
        <v>0.5</v>
      </c>
      <c r="F127" s="411"/>
    </row>
    <row r="128" spans="1:6" x14ac:dyDescent="0.25">
      <c r="A128" s="588"/>
      <c r="B128" s="412" t="s">
        <v>5</v>
      </c>
      <c r="C128" s="413" t="str">
        <f>EEGG!E102</f>
        <v>1LUNES</v>
      </c>
      <c r="D128" s="414">
        <f>EEGG!F102</f>
        <v>0.5</v>
      </c>
      <c r="E128" s="414">
        <f>EEGG!G102</f>
        <v>0.58333333333333337</v>
      </c>
      <c r="F128" s="411"/>
    </row>
    <row r="129" spans="1:6" x14ac:dyDescent="0.25">
      <c r="A129" s="588" t="s">
        <v>137</v>
      </c>
      <c r="B129" s="412" t="s">
        <v>1</v>
      </c>
      <c r="C129" s="413" t="str">
        <f>EEGG!E103</f>
        <v>4JUEVES</v>
      </c>
      <c r="D129" s="414">
        <f>EEGG!F103</f>
        <v>0.58333333333333337</v>
      </c>
      <c r="E129" s="414">
        <f>EEGG!G103</f>
        <v>0.625</v>
      </c>
      <c r="F129" s="411"/>
    </row>
    <row r="130" spans="1:6" x14ac:dyDescent="0.25">
      <c r="A130" s="588"/>
      <c r="B130" s="412" t="s">
        <v>5</v>
      </c>
      <c r="C130" s="413" t="str">
        <f>EEGG!E104</f>
        <v>4JUEVES</v>
      </c>
      <c r="D130" s="414">
        <f>EEGG!F104</f>
        <v>0.625</v>
      </c>
      <c r="E130" s="414">
        <f>EEGG!G104</f>
        <v>0.70833333333333337</v>
      </c>
      <c r="F130" s="411"/>
    </row>
    <row r="131" spans="1:6" x14ac:dyDescent="0.25">
      <c r="A131" s="588" t="s">
        <v>138</v>
      </c>
      <c r="B131" s="412" t="s">
        <v>1</v>
      </c>
      <c r="C131" s="413" t="s">
        <v>139</v>
      </c>
      <c r="D131" s="414">
        <f>EEGG!F105</f>
        <v>0.41666666666666669</v>
      </c>
      <c r="E131" s="414">
        <f>EEGG!G105</f>
        <v>0.45833333333333331</v>
      </c>
      <c r="F131" s="411"/>
    </row>
    <row r="132" spans="1:6" x14ac:dyDescent="0.25">
      <c r="A132" s="588"/>
      <c r="B132" s="412" t="s">
        <v>5</v>
      </c>
      <c r="C132" s="413" t="str">
        <f>EEGG!E106</f>
        <v>3MIERCOLES</v>
      </c>
      <c r="D132" s="414">
        <f>EEGG!F106</f>
        <v>0.45833333333333331</v>
      </c>
      <c r="E132" s="414">
        <f>EEGG!G106</f>
        <v>0.54166666666666663</v>
      </c>
      <c r="F132" s="411"/>
    </row>
    <row r="134" spans="1:6" x14ac:dyDescent="0.25">
      <c r="A134" s="586" t="s">
        <v>140</v>
      </c>
      <c r="B134" s="586"/>
      <c r="C134" s="586"/>
      <c r="D134" s="586"/>
      <c r="E134" s="586"/>
      <c r="F134" s="586"/>
    </row>
    <row r="136" spans="1:6" x14ac:dyDescent="0.25">
      <c r="A136" s="13" t="str">
        <f>EEGG!B107</f>
        <v>REDACCIÓN Y TÉCNICAS DE COMUNICACIÓN EFECTIVA I</v>
      </c>
    </row>
    <row r="137" spans="1:6" x14ac:dyDescent="0.25">
      <c r="A137" s="415" t="s">
        <v>0</v>
      </c>
      <c r="B137" s="415" t="s">
        <v>1</v>
      </c>
      <c r="C137" s="416" t="s">
        <v>2</v>
      </c>
      <c r="D137" s="587" t="s">
        <v>131</v>
      </c>
      <c r="E137" s="587"/>
      <c r="F137" s="415" t="s">
        <v>3</v>
      </c>
    </row>
    <row r="138" spans="1:6" x14ac:dyDescent="0.25">
      <c r="A138" s="588" t="s">
        <v>132</v>
      </c>
      <c r="B138" s="412" t="s">
        <v>1</v>
      </c>
      <c r="C138" s="14" t="str">
        <f>EEGG!E107</f>
        <v>5VIERNES</v>
      </c>
      <c r="D138" s="414">
        <f>EEGG!F107</f>
        <v>0.33333333333333331</v>
      </c>
      <c r="E138" s="414">
        <f>EEGG!G107</f>
        <v>0.41666666666666669</v>
      </c>
      <c r="F138" s="14"/>
    </row>
    <row r="139" spans="1:6" x14ac:dyDescent="0.25">
      <c r="A139" s="588"/>
      <c r="B139" s="412" t="s">
        <v>5</v>
      </c>
      <c r="C139" s="14" t="str">
        <f>EEGG!E108</f>
        <v>5VIERNES</v>
      </c>
      <c r="D139" s="414">
        <f>EEGG!F108</f>
        <v>0.41666666666666669</v>
      </c>
      <c r="E139" s="414">
        <f>EEGG!G108</f>
        <v>0.5</v>
      </c>
      <c r="F139" s="14"/>
    </row>
    <row r="141" spans="1:6" x14ac:dyDescent="0.25">
      <c r="A141" s="13" t="str">
        <f>EEGG!B109</f>
        <v>CÁLCULO II</v>
      </c>
    </row>
    <row r="142" spans="1:6" x14ac:dyDescent="0.25">
      <c r="A142" s="415" t="s">
        <v>0</v>
      </c>
      <c r="B142" s="415" t="s">
        <v>1</v>
      </c>
      <c r="C142" s="416" t="s">
        <v>2</v>
      </c>
      <c r="D142" s="587" t="s">
        <v>131</v>
      </c>
      <c r="E142" s="587"/>
      <c r="F142" s="415" t="s">
        <v>3</v>
      </c>
    </row>
    <row r="143" spans="1:6" x14ac:dyDescent="0.25">
      <c r="A143" s="588" t="s">
        <v>132</v>
      </c>
      <c r="B143" s="412" t="s">
        <v>1</v>
      </c>
      <c r="C143" s="14" t="str">
        <f>EEGG!E109</f>
        <v>2MARTES</v>
      </c>
      <c r="D143" s="414">
        <f>EEGG!F109</f>
        <v>0.33333333333333331</v>
      </c>
      <c r="E143" s="414">
        <f>EEGG!G109</f>
        <v>0.41666666666666669</v>
      </c>
      <c r="F143" s="14"/>
    </row>
    <row r="144" spans="1:6" x14ac:dyDescent="0.25">
      <c r="A144" s="588"/>
      <c r="B144" s="412" t="s">
        <v>5</v>
      </c>
      <c r="C144" s="14" t="str">
        <f>EEGG!E110</f>
        <v>4JUEVES</v>
      </c>
      <c r="D144" s="414">
        <f>EEGG!F110</f>
        <v>0.33333333333333331</v>
      </c>
      <c r="E144" s="414">
        <f>EEGG!G110</f>
        <v>0.5</v>
      </c>
      <c r="F144" s="14"/>
    </row>
  </sheetData>
  <mergeCells count="74">
    <mergeCell ref="A14:A15"/>
    <mergeCell ref="A7:F7"/>
    <mergeCell ref="A8:F8"/>
    <mergeCell ref="D9:E9"/>
    <mergeCell ref="A10:A11"/>
    <mergeCell ref="A12:A13"/>
    <mergeCell ref="A54:A55"/>
    <mergeCell ref="A44:F44"/>
    <mergeCell ref="A16:A17"/>
    <mergeCell ref="A18:A19"/>
    <mergeCell ref="A20:A21"/>
    <mergeCell ref="A23:F23"/>
    <mergeCell ref="D24:E24"/>
    <mergeCell ref="A25:A27"/>
    <mergeCell ref="D45:E45"/>
    <mergeCell ref="A46:A47"/>
    <mergeCell ref="A48:A49"/>
    <mergeCell ref="A50:A51"/>
    <mergeCell ref="A52:A53"/>
    <mergeCell ref="A76:A77"/>
    <mergeCell ref="A56:A57"/>
    <mergeCell ref="A59:F59"/>
    <mergeCell ref="D60:E60"/>
    <mergeCell ref="A61:A62"/>
    <mergeCell ref="A63:A64"/>
    <mergeCell ref="A65:A66"/>
    <mergeCell ref="A67:A68"/>
    <mergeCell ref="A69:A70"/>
    <mergeCell ref="A71:A72"/>
    <mergeCell ref="A74:F74"/>
    <mergeCell ref="D75:E75"/>
    <mergeCell ref="A78:A79"/>
    <mergeCell ref="A80:A81"/>
    <mergeCell ref="A82:A83"/>
    <mergeCell ref="A84:A85"/>
    <mergeCell ref="A86:A87"/>
    <mergeCell ref="A99:A100"/>
    <mergeCell ref="A89:F89"/>
    <mergeCell ref="D90:E90"/>
    <mergeCell ref="A101:A102"/>
    <mergeCell ref="A91:A92"/>
    <mergeCell ref="A93:A94"/>
    <mergeCell ref="A95:A96"/>
    <mergeCell ref="A97:A98"/>
    <mergeCell ref="A121:A122"/>
    <mergeCell ref="A123:A124"/>
    <mergeCell ref="A125:A126"/>
    <mergeCell ref="A106:A107"/>
    <mergeCell ref="A108:A109"/>
    <mergeCell ref="A110:A111"/>
    <mergeCell ref="A112:A113"/>
    <mergeCell ref="A114:A115"/>
    <mergeCell ref="A116:A117"/>
    <mergeCell ref="A127:A128"/>
    <mergeCell ref="A129:A130"/>
    <mergeCell ref="A131:A132"/>
    <mergeCell ref="A1:F1"/>
    <mergeCell ref="A2:F2"/>
    <mergeCell ref="A3:F3"/>
    <mergeCell ref="A5:F5"/>
    <mergeCell ref="A28:A30"/>
    <mergeCell ref="A31:A33"/>
    <mergeCell ref="A34:A36"/>
    <mergeCell ref="A37:A39"/>
    <mergeCell ref="A40:A42"/>
    <mergeCell ref="A119:F119"/>
    <mergeCell ref="A104:F104"/>
    <mergeCell ref="D105:E105"/>
    <mergeCell ref="D120:E120"/>
    <mergeCell ref="A134:F134"/>
    <mergeCell ref="D137:E137"/>
    <mergeCell ref="D142:E142"/>
    <mergeCell ref="A138:A139"/>
    <mergeCell ref="A143:A1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E29E-2C44-45B6-87DB-143AEEEA96CE}">
  <dimension ref="A1:N35"/>
  <sheetViews>
    <sheetView zoomScale="130" zoomScaleNormal="130" workbookViewId="0">
      <selection activeCell="H8" sqref="H8:H9"/>
    </sheetView>
  </sheetViews>
  <sheetFormatPr baseColWidth="10" defaultRowHeight="15" x14ac:dyDescent="0.25"/>
  <cols>
    <col min="1" max="1" width="8.85546875" style="418" customWidth="1"/>
    <col min="2" max="2" width="8.140625" style="418" customWidth="1"/>
    <col min="3" max="3" width="2.7109375" style="419" customWidth="1"/>
    <col min="4" max="4" width="20.7109375" style="423" customWidth="1"/>
    <col min="5" max="5" width="2.7109375" style="419" customWidth="1"/>
    <col min="6" max="6" width="20.7109375" style="423" customWidth="1"/>
    <col min="7" max="7" width="2.7109375" style="419" customWidth="1"/>
    <col min="8" max="8" width="20.7109375" style="423" customWidth="1"/>
    <col min="9" max="9" width="2.7109375" style="419" customWidth="1"/>
    <col min="10" max="10" width="20.7109375" style="423" customWidth="1"/>
    <col min="11" max="11" width="2.7109375" style="419" customWidth="1"/>
    <col min="12" max="12" width="20.7109375" style="423" customWidth="1"/>
    <col min="13" max="13" width="2.7109375" style="419" customWidth="1"/>
    <col min="14" max="14" width="20.7109375" style="424" customWidth="1"/>
  </cols>
  <sheetData>
    <row r="1" spans="1:14" ht="15.75" thickBot="1" x14ac:dyDescent="0.3"/>
    <row r="2" spans="1:14" ht="15.75" thickBot="1" x14ac:dyDescent="0.3">
      <c r="A2" s="620" t="s">
        <v>149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  <c r="N2" s="622"/>
    </row>
    <row r="3" spans="1:14" ht="15.75" thickBot="1" x14ac:dyDescent="0.3">
      <c r="A3" s="441" t="s">
        <v>146</v>
      </c>
      <c r="B3" s="441" t="s">
        <v>147</v>
      </c>
      <c r="C3" s="442" t="s">
        <v>1</v>
      </c>
      <c r="D3" s="449" t="s">
        <v>133</v>
      </c>
      <c r="E3" s="443" t="s">
        <v>1</v>
      </c>
      <c r="F3" s="444" t="s">
        <v>141</v>
      </c>
      <c r="G3" s="445" t="s">
        <v>1</v>
      </c>
      <c r="H3" s="446" t="s">
        <v>142</v>
      </c>
      <c r="I3" s="445" t="s">
        <v>1</v>
      </c>
      <c r="J3" s="446" t="s">
        <v>143</v>
      </c>
      <c r="K3" s="447" t="s">
        <v>1</v>
      </c>
      <c r="L3" s="446" t="s">
        <v>144</v>
      </c>
      <c r="M3" s="443" t="s">
        <v>1</v>
      </c>
      <c r="N3" s="448" t="s">
        <v>145</v>
      </c>
    </row>
    <row r="4" spans="1:14" ht="30" customHeight="1" x14ac:dyDescent="0.25">
      <c r="A4" s="436">
        <v>0.33333333333333331</v>
      </c>
      <c r="B4" s="436">
        <v>0.375</v>
      </c>
      <c r="C4" s="662" t="s">
        <v>1</v>
      </c>
      <c r="D4" s="625" t="s">
        <v>153</v>
      </c>
      <c r="E4" s="664" t="s">
        <v>1</v>
      </c>
      <c r="F4" s="665" t="s">
        <v>12</v>
      </c>
      <c r="G4" s="666" t="s">
        <v>1</v>
      </c>
      <c r="H4" s="667" t="s">
        <v>98</v>
      </c>
      <c r="I4" s="597" t="s">
        <v>5</v>
      </c>
      <c r="J4" s="599" t="s">
        <v>12</v>
      </c>
      <c r="K4" s="649" t="s">
        <v>5</v>
      </c>
      <c r="L4" s="625" t="s">
        <v>99</v>
      </c>
      <c r="M4" s="658" t="s">
        <v>1</v>
      </c>
      <c r="N4" s="653" t="s">
        <v>100</v>
      </c>
    </row>
    <row r="5" spans="1:14" ht="30" customHeight="1" thickBot="1" x14ac:dyDescent="0.3">
      <c r="A5" s="437">
        <v>0.375</v>
      </c>
      <c r="B5" s="437">
        <v>0.41666666666666669</v>
      </c>
      <c r="C5" s="661"/>
      <c r="D5" s="626"/>
      <c r="E5" s="597"/>
      <c r="F5" s="600"/>
      <c r="G5" s="612"/>
      <c r="H5" s="619"/>
      <c r="I5" s="648"/>
      <c r="J5" s="599"/>
      <c r="K5" s="649"/>
      <c r="L5" s="651"/>
      <c r="M5" s="659"/>
      <c r="N5" s="654"/>
    </row>
    <row r="6" spans="1:14" ht="30" customHeight="1" x14ac:dyDescent="0.25">
      <c r="A6" s="437">
        <v>0.41666666666666669</v>
      </c>
      <c r="B6" s="437">
        <v>0.45833333333333331</v>
      </c>
      <c r="C6" s="646" t="s">
        <v>1</v>
      </c>
      <c r="D6" s="629" t="s">
        <v>95</v>
      </c>
      <c r="E6" s="450" t="s">
        <v>1</v>
      </c>
      <c r="F6" s="426" t="s">
        <v>101</v>
      </c>
      <c r="G6" s="668" t="s">
        <v>5</v>
      </c>
      <c r="H6" s="618" t="s">
        <v>98</v>
      </c>
      <c r="I6" s="648"/>
      <c r="J6" s="599"/>
      <c r="K6" s="649"/>
      <c r="L6" s="651"/>
      <c r="M6" s="655" t="s">
        <v>5</v>
      </c>
      <c r="N6" s="653" t="s">
        <v>100</v>
      </c>
    </row>
    <row r="7" spans="1:14" ht="30" customHeight="1" thickBot="1" x14ac:dyDescent="0.3">
      <c r="A7" s="437">
        <v>0.45833333333333331</v>
      </c>
      <c r="B7" s="437">
        <v>0.5</v>
      </c>
      <c r="C7" s="628"/>
      <c r="D7" s="630"/>
      <c r="E7" s="605" t="s">
        <v>5</v>
      </c>
      <c r="F7" s="601" t="s">
        <v>101</v>
      </c>
      <c r="G7" s="668"/>
      <c r="H7" s="619"/>
      <c r="I7" s="648"/>
      <c r="J7" s="600"/>
      <c r="K7" s="650"/>
      <c r="L7" s="652"/>
      <c r="M7" s="655"/>
      <c r="N7" s="654"/>
    </row>
    <row r="8" spans="1:14" ht="30" customHeight="1" x14ac:dyDescent="0.25">
      <c r="A8" s="437">
        <v>0.5</v>
      </c>
      <c r="B8" s="437">
        <v>0.54166666666666663</v>
      </c>
      <c r="C8" s="646" t="s">
        <v>5</v>
      </c>
      <c r="D8" s="629" t="s">
        <v>95</v>
      </c>
      <c r="E8" s="663"/>
      <c r="F8" s="602"/>
      <c r="G8" s="611" t="s">
        <v>35</v>
      </c>
      <c r="H8" s="613" t="s">
        <v>98</v>
      </c>
      <c r="I8" s="422"/>
      <c r="J8" s="427"/>
      <c r="K8" s="468"/>
      <c r="L8" s="471"/>
      <c r="M8" s="422"/>
      <c r="N8" s="428"/>
    </row>
    <row r="9" spans="1:14" ht="30" customHeight="1" x14ac:dyDescent="0.25">
      <c r="A9" s="437">
        <v>0.54166666666666663</v>
      </c>
      <c r="B9" s="437">
        <v>0.58333333333333337</v>
      </c>
      <c r="C9" s="628"/>
      <c r="D9" s="630"/>
      <c r="E9" s="420"/>
      <c r="F9" s="425"/>
      <c r="G9" s="612"/>
      <c r="H9" s="614"/>
      <c r="I9" s="420"/>
      <c r="J9" s="427"/>
      <c r="K9" s="469"/>
      <c r="L9" s="427"/>
      <c r="M9" s="420"/>
      <c r="N9" s="428"/>
    </row>
    <row r="10" spans="1:14" ht="30" customHeight="1" x14ac:dyDescent="0.25">
      <c r="A10" s="437">
        <v>0.58333333333333337</v>
      </c>
      <c r="B10" s="437">
        <v>0.625</v>
      </c>
      <c r="C10" s="420"/>
      <c r="D10" s="439"/>
      <c r="E10" s="420" t="s">
        <v>1</v>
      </c>
      <c r="F10" s="451" t="s">
        <v>96</v>
      </c>
      <c r="G10" s="420"/>
      <c r="H10" s="427"/>
      <c r="I10" s="432" t="s">
        <v>1</v>
      </c>
      <c r="J10" s="433" t="s">
        <v>97</v>
      </c>
      <c r="K10" s="469" t="s">
        <v>1</v>
      </c>
      <c r="L10" s="427"/>
      <c r="M10" s="420" t="s">
        <v>1</v>
      </c>
      <c r="N10" s="428"/>
    </row>
    <row r="11" spans="1:14" ht="30" customHeight="1" x14ac:dyDescent="0.25">
      <c r="A11" s="437">
        <v>0.625</v>
      </c>
      <c r="B11" s="437">
        <v>0.66666666666666663</v>
      </c>
      <c r="C11" s="420"/>
      <c r="D11" s="439"/>
      <c r="E11" s="660" t="s">
        <v>5</v>
      </c>
      <c r="F11" s="644" t="s">
        <v>96</v>
      </c>
      <c r="G11" s="660"/>
      <c r="H11" s="427"/>
      <c r="I11" s="638" t="s">
        <v>5</v>
      </c>
      <c r="J11" s="640" t="s">
        <v>97</v>
      </c>
      <c r="K11" s="656" t="s">
        <v>5</v>
      </c>
      <c r="L11" s="427"/>
      <c r="M11" s="660" t="s">
        <v>5</v>
      </c>
      <c r="N11" s="428"/>
    </row>
    <row r="12" spans="1:14" ht="30" customHeight="1" x14ac:dyDescent="0.25">
      <c r="A12" s="437">
        <v>0.66666666666666663</v>
      </c>
      <c r="B12" s="437">
        <v>0.70833333333333337</v>
      </c>
      <c r="C12" s="420"/>
      <c r="D12" s="439"/>
      <c r="E12" s="661"/>
      <c r="F12" s="645"/>
      <c r="G12" s="661"/>
      <c r="H12" s="427"/>
      <c r="I12" s="639"/>
      <c r="J12" s="641"/>
      <c r="K12" s="657"/>
      <c r="L12" s="427"/>
      <c r="M12" s="661"/>
      <c r="N12" s="428"/>
    </row>
    <row r="13" spans="1:14" ht="30" customHeight="1" x14ac:dyDescent="0.25">
      <c r="A13" s="437">
        <v>0.70833333333333337</v>
      </c>
      <c r="B13" s="437">
        <v>0.75</v>
      </c>
      <c r="C13" s="420"/>
      <c r="D13" s="439"/>
      <c r="E13" s="420"/>
      <c r="F13" s="427"/>
      <c r="G13" s="420"/>
      <c r="H13" s="427"/>
      <c r="I13" s="420"/>
      <c r="J13" s="427"/>
      <c r="K13" s="469"/>
      <c r="L13" s="427"/>
      <c r="M13" s="420"/>
      <c r="N13" s="429"/>
    </row>
    <row r="14" spans="1:14" ht="30" customHeight="1" x14ac:dyDescent="0.25">
      <c r="A14" s="437">
        <v>0.75</v>
      </c>
      <c r="B14" s="437">
        <v>0.79166666666666663</v>
      </c>
      <c r="C14" s="420"/>
      <c r="D14" s="439"/>
      <c r="E14" s="420"/>
      <c r="F14" s="427"/>
      <c r="G14" s="420"/>
      <c r="H14" s="427"/>
      <c r="I14" s="420"/>
      <c r="J14" s="427"/>
      <c r="K14" s="469"/>
      <c r="L14" s="427"/>
      <c r="M14" s="420"/>
      <c r="N14" s="429"/>
    </row>
    <row r="15" spans="1:14" ht="30" customHeight="1" x14ac:dyDescent="0.25">
      <c r="A15" s="437">
        <v>0.79166666666666663</v>
      </c>
      <c r="B15" s="437">
        <v>0.83333333333333337</v>
      </c>
      <c r="C15" s="420"/>
      <c r="D15" s="439"/>
      <c r="E15" s="420"/>
      <c r="F15" s="427"/>
      <c r="G15" s="420"/>
      <c r="H15" s="427"/>
      <c r="I15" s="420"/>
      <c r="J15" s="427"/>
      <c r="K15" s="469"/>
      <c r="L15" s="427"/>
      <c r="M15" s="420"/>
      <c r="N15" s="429"/>
    </row>
    <row r="16" spans="1:14" ht="30" customHeight="1" x14ac:dyDescent="0.25">
      <c r="A16" s="437">
        <v>0.83333333333333337</v>
      </c>
      <c r="B16" s="437">
        <v>0.875</v>
      </c>
      <c r="C16" s="420"/>
      <c r="D16" s="439"/>
      <c r="E16" s="420"/>
      <c r="F16" s="427"/>
      <c r="G16" s="420"/>
      <c r="H16" s="427"/>
      <c r="I16" s="420"/>
      <c r="J16" s="427"/>
      <c r="K16" s="469"/>
      <c r="L16" s="427"/>
      <c r="M16" s="420"/>
      <c r="N16" s="429"/>
    </row>
    <row r="17" spans="1:14" ht="30" customHeight="1" thickBot="1" x14ac:dyDescent="0.3">
      <c r="A17" s="438">
        <v>0.875</v>
      </c>
      <c r="B17" s="438">
        <v>0.91666666666666663</v>
      </c>
      <c r="C17" s="421"/>
      <c r="D17" s="440"/>
      <c r="E17" s="421"/>
      <c r="F17" s="430"/>
      <c r="G17" s="421"/>
      <c r="H17" s="430"/>
      <c r="I17" s="421"/>
      <c r="J17" s="430"/>
      <c r="K17" s="470"/>
      <c r="L17" s="430"/>
      <c r="M17" s="421"/>
      <c r="N17" s="431"/>
    </row>
    <row r="19" spans="1:14" ht="15.75" thickBot="1" x14ac:dyDescent="0.3"/>
    <row r="20" spans="1:14" ht="15.75" thickBot="1" x14ac:dyDescent="0.3">
      <c r="A20" s="620" t="s">
        <v>148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2"/>
    </row>
    <row r="21" spans="1:14" ht="15" customHeight="1" thickBot="1" x14ac:dyDescent="0.3">
      <c r="A21" s="441" t="s">
        <v>146</v>
      </c>
      <c r="B21" s="441" t="s">
        <v>147</v>
      </c>
      <c r="C21" s="442" t="s">
        <v>1</v>
      </c>
      <c r="D21" s="449" t="s">
        <v>133</v>
      </c>
      <c r="E21" s="443" t="s">
        <v>1</v>
      </c>
      <c r="F21" s="444" t="s">
        <v>141</v>
      </c>
      <c r="G21" s="445" t="s">
        <v>1</v>
      </c>
      <c r="H21" s="446" t="s">
        <v>142</v>
      </c>
      <c r="I21" s="445" t="s">
        <v>1</v>
      </c>
      <c r="J21" s="446" t="s">
        <v>143</v>
      </c>
      <c r="K21" s="447" t="s">
        <v>1</v>
      </c>
      <c r="L21" s="446" t="s">
        <v>144</v>
      </c>
      <c r="M21" s="445" t="s">
        <v>1</v>
      </c>
      <c r="N21" s="448" t="s">
        <v>145</v>
      </c>
    </row>
    <row r="22" spans="1:14" ht="30" customHeight="1" x14ac:dyDescent="0.25">
      <c r="A22" s="436">
        <v>0.33333333333333331</v>
      </c>
      <c r="B22" s="436">
        <v>0.375</v>
      </c>
      <c r="C22" s="623" t="s">
        <v>1</v>
      </c>
      <c r="D22" s="625" t="s">
        <v>99</v>
      </c>
      <c r="E22" s="627" t="s">
        <v>1</v>
      </c>
      <c r="F22" s="629" t="s">
        <v>95</v>
      </c>
      <c r="G22" s="631" t="s">
        <v>1</v>
      </c>
      <c r="H22" s="632" t="s">
        <v>98</v>
      </c>
      <c r="I22" s="607" t="s">
        <v>1</v>
      </c>
      <c r="J22" s="609" t="s">
        <v>100</v>
      </c>
      <c r="K22" s="633" t="s">
        <v>5</v>
      </c>
      <c r="L22" s="615" t="s">
        <v>99</v>
      </c>
      <c r="M22" s="465" t="s">
        <v>1</v>
      </c>
      <c r="N22" s="451" t="s">
        <v>96</v>
      </c>
    </row>
    <row r="23" spans="1:14" ht="30" customHeight="1" thickBot="1" x14ac:dyDescent="0.3">
      <c r="A23" s="437">
        <v>0.375</v>
      </c>
      <c r="B23" s="437">
        <v>0.41666666666666669</v>
      </c>
      <c r="C23" s="624"/>
      <c r="D23" s="626"/>
      <c r="E23" s="628"/>
      <c r="F23" s="630"/>
      <c r="G23" s="612"/>
      <c r="H23" s="619"/>
      <c r="I23" s="608"/>
      <c r="J23" s="610"/>
      <c r="K23" s="634"/>
      <c r="L23" s="616"/>
      <c r="M23" s="642" t="s">
        <v>5</v>
      </c>
      <c r="N23" s="644" t="s">
        <v>96</v>
      </c>
    </row>
    <row r="24" spans="1:14" ht="30" customHeight="1" x14ac:dyDescent="0.25">
      <c r="A24" s="437">
        <v>0.41666666666666669</v>
      </c>
      <c r="B24" s="437">
        <v>0.45833333333333331</v>
      </c>
      <c r="C24" s="432" t="s">
        <v>1</v>
      </c>
      <c r="D24" s="433" t="s">
        <v>97</v>
      </c>
      <c r="E24" s="646" t="s">
        <v>5</v>
      </c>
      <c r="F24" s="629" t="s">
        <v>95</v>
      </c>
      <c r="G24" s="452" t="s">
        <v>5</v>
      </c>
      <c r="H24" s="618" t="s">
        <v>98</v>
      </c>
      <c r="I24" s="636" t="s">
        <v>5</v>
      </c>
      <c r="J24" s="609" t="s">
        <v>100</v>
      </c>
      <c r="K24" s="634"/>
      <c r="L24" s="616"/>
      <c r="M24" s="643"/>
      <c r="N24" s="645"/>
    </row>
    <row r="25" spans="1:14" ht="30" customHeight="1" x14ac:dyDescent="0.25">
      <c r="A25" s="437">
        <v>0.45833333333333331</v>
      </c>
      <c r="B25" s="437">
        <v>0.5</v>
      </c>
      <c r="C25" s="638" t="s">
        <v>5</v>
      </c>
      <c r="D25" s="640" t="s">
        <v>97</v>
      </c>
      <c r="E25" s="647"/>
      <c r="F25" s="630"/>
      <c r="G25" s="457"/>
      <c r="H25" s="619"/>
      <c r="I25" s="608"/>
      <c r="J25" s="637"/>
      <c r="K25" s="635"/>
      <c r="L25" s="617"/>
      <c r="M25" s="466"/>
      <c r="N25" s="467"/>
    </row>
    <row r="26" spans="1:14" ht="30" customHeight="1" x14ac:dyDescent="0.25">
      <c r="A26" s="437">
        <v>0.5</v>
      </c>
      <c r="B26" s="437">
        <v>0.54166666666666663</v>
      </c>
      <c r="C26" s="639"/>
      <c r="D26" s="641"/>
      <c r="E26" s="458"/>
      <c r="F26" s="460"/>
      <c r="G26" s="611" t="s">
        <v>35</v>
      </c>
      <c r="H26" s="613" t="s">
        <v>98</v>
      </c>
      <c r="I26" s="422"/>
      <c r="J26" s="456"/>
      <c r="K26" s="422"/>
      <c r="L26" s="427"/>
      <c r="M26" s="422"/>
      <c r="N26" s="428"/>
    </row>
    <row r="27" spans="1:14" ht="30" customHeight="1" x14ac:dyDescent="0.25">
      <c r="A27" s="437">
        <v>0.54166666666666663</v>
      </c>
      <c r="B27" s="437">
        <v>0.58333333333333337</v>
      </c>
      <c r="C27" s="435"/>
      <c r="D27" s="453"/>
      <c r="E27" s="454"/>
      <c r="F27" s="459"/>
      <c r="G27" s="612"/>
      <c r="H27" s="614"/>
      <c r="I27" s="420"/>
      <c r="J27" s="456"/>
      <c r="K27" s="454"/>
      <c r="L27" s="427"/>
      <c r="M27" s="420"/>
      <c r="N27" s="428"/>
    </row>
    <row r="28" spans="1:14" ht="30" customHeight="1" x14ac:dyDescent="0.25">
      <c r="A28" s="437">
        <v>0.58333333333333337</v>
      </c>
      <c r="B28" s="437">
        <v>0.625</v>
      </c>
      <c r="C28" s="454"/>
      <c r="D28" s="461"/>
      <c r="E28" s="603" t="s">
        <v>1</v>
      </c>
      <c r="F28" s="604" t="s">
        <v>12</v>
      </c>
      <c r="G28" s="462"/>
      <c r="H28" s="427"/>
      <c r="I28" s="595" t="s">
        <v>5</v>
      </c>
      <c r="J28" s="598" t="s">
        <v>12</v>
      </c>
      <c r="K28" s="464" t="s">
        <v>1</v>
      </c>
      <c r="L28" s="426" t="s">
        <v>101</v>
      </c>
      <c r="M28" s="454" t="s">
        <v>1</v>
      </c>
      <c r="N28" s="428"/>
    </row>
    <row r="29" spans="1:14" ht="30" customHeight="1" x14ac:dyDescent="0.25">
      <c r="A29" s="437">
        <v>0.625</v>
      </c>
      <c r="B29" s="437">
        <v>0.66666666666666663</v>
      </c>
      <c r="C29" s="454"/>
      <c r="D29" s="461"/>
      <c r="E29" s="603"/>
      <c r="F29" s="604"/>
      <c r="G29" s="463"/>
      <c r="H29" s="427"/>
      <c r="I29" s="596"/>
      <c r="J29" s="599"/>
      <c r="K29" s="605" t="s">
        <v>5</v>
      </c>
      <c r="L29" s="601" t="s">
        <v>101</v>
      </c>
      <c r="M29" s="434" t="s">
        <v>5</v>
      </c>
      <c r="N29" s="428"/>
    </row>
    <row r="30" spans="1:14" ht="30" customHeight="1" x14ac:dyDescent="0.25">
      <c r="A30" s="437">
        <v>0.66666666666666663</v>
      </c>
      <c r="B30" s="437">
        <v>0.70833333333333337</v>
      </c>
      <c r="C30" s="454"/>
      <c r="D30" s="455"/>
      <c r="E30" s="435"/>
      <c r="F30" s="460"/>
      <c r="G30" s="435"/>
      <c r="H30" s="427"/>
      <c r="I30" s="596"/>
      <c r="J30" s="599"/>
      <c r="K30" s="606"/>
      <c r="L30" s="602"/>
      <c r="M30" s="435"/>
      <c r="N30" s="428"/>
    </row>
    <row r="31" spans="1:14" ht="30" customHeight="1" x14ac:dyDescent="0.25">
      <c r="A31" s="437">
        <v>0.70833333333333337</v>
      </c>
      <c r="B31" s="437">
        <v>0.75</v>
      </c>
      <c r="C31" s="454"/>
      <c r="D31" s="455"/>
      <c r="E31" s="454"/>
      <c r="F31" s="456"/>
      <c r="G31" s="420"/>
      <c r="H31" s="427"/>
      <c r="I31" s="597"/>
      <c r="J31" s="600"/>
      <c r="K31" s="454"/>
      <c r="L31" s="427"/>
      <c r="M31" s="420"/>
      <c r="N31" s="429"/>
    </row>
    <row r="32" spans="1:14" ht="30" customHeight="1" x14ac:dyDescent="0.25">
      <c r="A32" s="437">
        <v>0.75</v>
      </c>
      <c r="B32" s="437">
        <v>0.79166666666666663</v>
      </c>
      <c r="C32" s="454"/>
      <c r="D32" s="455"/>
      <c r="E32" s="454"/>
      <c r="F32" s="456"/>
      <c r="G32" s="420"/>
      <c r="H32" s="427"/>
      <c r="I32" s="420"/>
      <c r="J32" s="456"/>
      <c r="K32" s="454"/>
      <c r="L32" s="427"/>
      <c r="M32" s="420"/>
      <c r="N32" s="429"/>
    </row>
    <row r="33" spans="1:14" ht="30" customHeight="1" x14ac:dyDescent="0.25">
      <c r="A33" s="437">
        <v>0.79166666666666663</v>
      </c>
      <c r="B33" s="437">
        <v>0.83333333333333337</v>
      </c>
      <c r="C33" s="454"/>
      <c r="D33" s="455"/>
      <c r="E33" s="454"/>
      <c r="F33" s="456"/>
      <c r="G33" s="420"/>
      <c r="H33" s="427"/>
      <c r="I33" s="420"/>
      <c r="J33" s="427"/>
      <c r="K33" s="420"/>
      <c r="L33" s="427"/>
      <c r="M33" s="420"/>
      <c r="N33" s="429"/>
    </row>
    <row r="34" spans="1:14" ht="30" customHeight="1" x14ac:dyDescent="0.25">
      <c r="A34" s="437">
        <v>0.83333333333333337</v>
      </c>
      <c r="B34" s="437">
        <v>0.875</v>
      </c>
      <c r="C34" s="420"/>
      <c r="D34" s="439"/>
      <c r="E34" s="420"/>
      <c r="F34" s="427"/>
      <c r="G34" s="420"/>
      <c r="H34" s="427"/>
      <c r="I34" s="420"/>
      <c r="J34" s="427"/>
      <c r="K34" s="420"/>
      <c r="L34" s="427"/>
      <c r="M34" s="420"/>
      <c r="N34" s="429"/>
    </row>
    <row r="35" spans="1:14" ht="30" customHeight="1" thickBot="1" x14ac:dyDescent="0.3">
      <c r="A35" s="438">
        <v>0.875</v>
      </c>
      <c r="B35" s="438">
        <v>0.91666666666666663</v>
      </c>
      <c r="C35" s="421"/>
      <c r="D35" s="440"/>
      <c r="E35" s="421"/>
      <c r="F35" s="430"/>
      <c r="G35" s="421"/>
      <c r="H35" s="430"/>
      <c r="I35" s="421"/>
      <c r="J35" s="430"/>
      <c r="K35" s="421"/>
      <c r="L35" s="430"/>
      <c r="M35" s="421"/>
      <c r="N35" s="431"/>
    </row>
  </sheetData>
  <mergeCells count="60">
    <mergeCell ref="G11:G12"/>
    <mergeCell ref="I11:I12"/>
    <mergeCell ref="H6:H7"/>
    <mergeCell ref="D8:D9"/>
    <mergeCell ref="C4:C5"/>
    <mergeCell ref="C6:C7"/>
    <mergeCell ref="C8:C9"/>
    <mergeCell ref="F7:F8"/>
    <mergeCell ref="E7:E8"/>
    <mergeCell ref="D4:D5"/>
    <mergeCell ref="E4:E5"/>
    <mergeCell ref="F4:F5"/>
    <mergeCell ref="G4:G5"/>
    <mergeCell ref="H4:H5"/>
    <mergeCell ref="D6:D7"/>
    <mergeCell ref="G6:G7"/>
    <mergeCell ref="N23:N24"/>
    <mergeCell ref="E24:E25"/>
    <mergeCell ref="A2:N2"/>
    <mergeCell ref="I4:I7"/>
    <mergeCell ref="J4:J7"/>
    <mergeCell ref="J11:J12"/>
    <mergeCell ref="K4:K7"/>
    <mergeCell ref="L4:L7"/>
    <mergeCell ref="N4:N5"/>
    <mergeCell ref="M6:M7"/>
    <mergeCell ref="N6:N7"/>
    <mergeCell ref="K11:K12"/>
    <mergeCell ref="M4:M5"/>
    <mergeCell ref="M11:M12"/>
    <mergeCell ref="E11:E12"/>
    <mergeCell ref="F11:F12"/>
    <mergeCell ref="G8:G9"/>
    <mergeCell ref="H8:H9"/>
    <mergeCell ref="A20:N20"/>
    <mergeCell ref="C22:C23"/>
    <mergeCell ref="D22:D23"/>
    <mergeCell ref="E22:E23"/>
    <mergeCell ref="F22:F23"/>
    <mergeCell ref="G22:G23"/>
    <mergeCell ref="H22:H23"/>
    <mergeCell ref="K22:K25"/>
    <mergeCell ref="I24:I25"/>
    <mergeCell ref="J24:J25"/>
    <mergeCell ref="F24:F25"/>
    <mergeCell ref="C25:C26"/>
    <mergeCell ref="D25:D26"/>
    <mergeCell ref="M23:M24"/>
    <mergeCell ref="I22:I23"/>
    <mergeCell ref="J22:J23"/>
    <mergeCell ref="G26:G27"/>
    <mergeCell ref="H26:H27"/>
    <mergeCell ref="L22:L25"/>
    <mergeCell ref="H24:H25"/>
    <mergeCell ref="I28:I31"/>
    <mergeCell ref="J28:J31"/>
    <mergeCell ref="L29:L30"/>
    <mergeCell ref="E28:E29"/>
    <mergeCell ref="F28:F29"/>
    <mergeCell ref="K29:K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9546-D74F-4636-A93D-86030036DE62}">
  <sheetPr filterMode="1"/>
  <dimension ref="A1:O154"/>
  <sheetViews>
    <sheetView zoomScale="175" zoomScaleNormal="175" workbookViewId="0">
      <pane ySplit="3" topLeftCell="A4" activePane="bottomLeft" state="frozen"/>
      <selection activeCell="B1" sqref="B1"/>
      <selection pane="bottomLeft" activeCell="B96" sqref="B96"/>
    </sheetView>
  </sheetViews>
  <sheetFormatPr baseColWidth="10" defaultRowHeight="15" x14ac:dyDescent="0.25"/>
  <cols>
    <col min="1" max="1" width="8.5703125" style="66" customWidth="1"/>
    <col min="2" max="2" width="34.5703125" customWidth="1"/>
    <col min="3" max="3" width="7.5703125" style="66" bestFit="1" customWidth="1"/>
    <col min="4" max="4" width="5.7109375" style="66" bestFit="1" customWidth="1"/>
    <col min="5" max="8" width="11.42578125" style="164"/>
    <col min="9" max="9" width="32.7109375" bestFit="1" customWidth="1"/>
  </cols>
  <sheetData>
    <row r="1" spans="1:15" s="47" customFormat="1" x14ac:dyDescent="0.25">
      <c r="A1" s="65" t="s">
        <v>94</v>
      </c>
      <c r="B1"/>
      <c r="C1" s="66"/>
      <c r="D1" s="66"/>
      <c r="E1" s="164"/>
      <c r="F1" s="164"/>
      <c r="G1" s="164"/>
      <c r="H1" s="164"/>
      <c r="I1"/>
      <c r="J1"/>
      <c r="K1"/>
      <c r="L1"/>
      <c r="M1"/>
      <c r="N1"/>
      <c r="O1"/>
    </row>
    <row r="2" spans="1:15" s="47" customFormat="1" x14ac:dyDescent="0.25">
      <c r="A2" s="65" t="s">
        <v>36</v>
      </c>
      <c r="B2"/>
      <c r="C2" s="66"/>
      <c r="D2" s="66"/>
      <c r="E2" s="164"/>
      <c r="F2" s="164"/>
      <c r="G2" s="164"/>
      <c r="H2" s="164"/>
      <c r="I2"/>
      <c r="J2"/>
      <c r="K2"/>
      <c r="L2"/>
      <c r="M2"/>
      <c r="N2"/>
      <c r="O2"/>
    </row>
    <row r="3" spans="1:15" s="47" customFormat="1" x14ac:dyDescent="0.25">
      <c r="A3" s="65"/>
      <c r="B3"/>
      <c r="C3" s="66"/>
      <c r="D3" s="66"/>
      <c r="E3" s="164"/>
      <c r="F3" s="164"/>
      <c r="G3" s="164"/>
      <c r="H3" s="164"/>
      <c r="I3"/>
      <c r="J3"/>
      <c r="K3"/>
      <c r="L3"/>
      <c r="M3"/>
      <c r="N3"/>
      <c r="O3"/>
    </row>
    <row r="4" spans="1:15" s="46" customFormat="1" x14ac:dyDescent="0.25">
      <c r="A4" s="31" t="s">
        <v>19</v>
      </c>
      <c r="B4" s="32" t="s">
        <v>11</v>
      </c>
      <c r="C4" s="31" t="s">
        <v>0</v>
      </c>
      <c r="D4" s="33" t="s">
        <v>18</v>
      </c>
      <c r="E4" s="34" t="s">
        <v>2</v>
      </c>
      <c r="F4" s="34" t="s">
        <v>37</v>
      </c>
      <c r="G4" s="34" t="s">
        <v>38</v>
      </c>
      <c r="H4" s="34" t="s">
        <v>105</v>
      </c>
      <c r="I4" s="32" t="s">
        <v>3</v>
      </c>
      <c r="J4" s="31" t="s">
        <v>39</v>
      </c>
      <c r="K4" s="31" t="s">
        <v>40</v>
      </c>
      <c r="L4" s="31"/>
      <c r="M4" s="31" t="s">
        <v>41</v>
      </c>
      <c r="N4" s="13"/>
      <c r="O4" s="13"/>
    </row>
    <row r="5" spans="1:15" s="84" customFormat="1" hidden="1" x14ac:dyDescent="0.25">
      <c r="A5" s="81">
        <v>3</v>
      </c>
      <c r="B5" s="43" t="s">
        <v>25</v>
      </c>
      <c r="C5" s="40" t="s">
        <v>4</v>
      </c>
      <c r="D5" s="53" t="s">
        <v>102</v>
      </c>
      <c r="E5" s="105" t="s">
        <v>13</v>
      </c>
      <c r="F5" s="73">
        <v>0.33333333333333331</v>
      </c>
      <c r="G5" s="74">
        <v>0.45833333333333331</v>
      </c>
      <c r="H5" s="82">
        <f t="shared" ref="H5:H36" si="0">G5-F5</f>
        <v>0.125</v>
      </c>
      <c r="I5" s="83"/>
      <c r="J5" s="83"/>
      <c r="K5" s="83"/>
      <c r="L5" s="83"/>
      <c r="M5" s="83"/>
    </row>
    <row r="6" spans="1:15" s="84" customFormat="1" hidden="1" x14ac:dyDescent="0.25">
      <c r="A6" s="81">
        <v>3</v>
      </c>
      <c r="B6" s="43" t="s">
        <v>25</v>
      </c>
      <c r="C6" s="40" t="s">
        <v>4</v>
      </c>
      <c r="D6" s="53" t="s">
        <v>103</v>
      </c>
      <c r="E6" s="40" t="s">
        <v>13</v>
      </c>
      <c r="F6" s="73">
        <v>0.45833333333333331</v>
      </c>
      <c r="G6" s="74">
        <v>0.54166666666666663</v>
      </c>
      <c r="H6" s="82">
        <f t="shared" si="0"/>
        <v>8.3333333333333315E-2</v>
      </c>
      <c r="I6" s="83"/>
      <c r="J6" s="83"/>
      <c r="K6" s="83"/>
      <c r="L6" s="83"/>
      <c r="M6" s="83"/>
    </row>
    <row r="7" spans="1:15" s="84" customFormat="1" hidden="1" x14ac:dyDescent="0.25">
      <c r="A7" s="81">
        <v>3</v>
      </c>
      <c r="B7" s="43" t="s">
        <v>27</v>
      </c>
      <c r="C7" s="40" t="s">
        <v>4</v>
      </c>
      <c r="D7" s="53" t="s">
        <v>102</v>
      </c>
      <c r="E7" s="72" t="s">
        <v>17</v>
      </c>
      <c r="F7" s="73">
        <v>0.58333333333333337</v>
      </c>
      <c r="G7" s="74">
        <v>0.625</v>
      </c>
      <c r="H7" s="82">
        <f t="shared" si="0"/>
        <v>4.166666666666663E-2</v>
      </c>
      <c r="I7" s="83"/>
      <c r="J7" s="83"/>
      <c r="K7" s="83"/>
      <c r="L7" s="83"/>
      <c r="M7" s="83"/>
    </row>
    <row r="8" spans="1:15" s="84" customFormat="1" hidden="1" x14ac:dyDescent="0.25">
      <c r="A8" s="81">
        <v>3</v>
      </c>
      <c r="B8" s="43" t="s">
        <v>27</v>
      </c>
      <c r="C8" s="40" t="s">
        <v>4</v>
      </c>
      <c r="D8" s="53" t="s">
        <v>103</v>
      </c>
      <c r="E8" s="72" t="s">
        <v>17</v>
      </c>
      <c r="F8" s="73">
        <v>0.625</v>
      </c>
      <c r="G8" s="74">
        <v>0.70833333333333337</v>
      </c>
      <c r="H8" s="82">
        <f t="shared" si="0"/>
        <v>8.333333333333337E-2</v>
      </c>
      <c r="I8" s="83"/>
      <c r="J8" s="83"/>
      <c r="K8" s="83"/>
      <c r="L8" s="83"/>
      <c r="M8" s="83"/>
    </row>
    <row r="9" spans="1:15" s="84" customFormat="1" hidden="1" x14ac:dyDescent="0.25">
      <c r="A9" s="81">
        <v>3</v>
      </c>
      <c r="B9" s="43" t="s">
        <v>23</v>
      </c>
      <c r="C9" s="40" t="s">
        <v>4</v>
      </c>
      <c r="D9" s="53" t="s">
        <v>102</v>
      </c>
      <c r="E9" s="72" t="s">
        <v>16</v>
      </c>
      <c r="F9" s="73">
        <v>0.33333333333333331</v>
      </c>
      <c r="G9" s="74">
        <v>0.45833333333333331</v>
      </c>
      <c r="H9" s="82">
        <f t="shared" si="0"/>
        <v>0.125</v>
      </c>
      <c r="I9" s="83"/>
      <c r="J9" s="83"/>
      <c r="K9" s="83"/>
      <c r="L9" s="83"/>
      <c r="M9" s="83"/>
    </row>
    <row r="10" spans="1:15" s="84" customFormat="1" hidden="1" x14ac:dyDescent="0.25">
      <c r="A10" s="81">
        <v>3</v>
      </c>
      <c r="B10" s="43" t="s">
        <v>23</v>
      </c>
      <c r="C10" s="40" t="s">
        <v>4</v>
      </c>
      <c r="D10" s="53" t="s">
        <v>103</v>
      </c>
      <c r="E10" s="72" t="s">
        <v>16</v>
      </c>
      <c r="F10" s="73">
        <v>0.45833333333333331</v>
      </c>
      <c r="G10" s="74">
        <v>0.54166666666666663</v>
      </c>
      <c r="H10" s="82">
        <f t="shared" si="0"/>
        <v>8.3333333333333315E-2</v>
      </c>
      <c r="I10" s="83"/>
      <c r="J10" s="83"/>
      <c r="K10" s="83"/>
      <c r="L10" s="83"/>
      <c r="M10" s="83"/>
    </row>
    <row r="11" spans="1:15" s="84" customFormat="1" hidden="1" x14ac:dyDescent="0.25">
      <c r="A11" s="81">
        <v>3</v>
      </c>
      <c r="B11" s="43" t="s">
        <v>28</v>
      </c>
      <c r="C11" s="40" t="s">
        <v>4</v>
      </c>
      <c r="D11" s="53" t="s">
        <v>102</v>
      </c>
      <c r="E11" s="72" t="s">
        <v>14</v>
      </c>
      <c r="F11" s="107">
        <v>0.33333333333333331</v>
      </c>
      <c r="G11" s="108">
        <v>0.41666666666666669</v>
      </c>
      <c r="H11" s="82">
        <f t="shared" si="0"/>
        <v>8.333333333333337E-2</v>
      </c>
      <c r="I11" s="83"/>
      <c r="J11" s="83"/>
      <c r="K11" s="83"/>
      <c r="L11" s="83"/>
      <c r="M11" s="83"/>
    </row>
    <row r="12" spans="1:15" s="84" customFormat="1" hidden="1" x14ac:dyDescent="0.25">
      <c r="A12" s="81">
        <v>3</v>
      </c>
      <c r="B12" s="43" t="s">
        <v>28</v>
      </c>
      <c r="C12" s="40" t="s">
        <v>4</v>
      </c>
      <c r="D12" s="53" t="s">
        <v>103</v>
      </c>
      <c r="E12" s="72" t="s">
        <v>14</v>
      </c>
      <c r="F12" s="108">
        <v>0.41666666666666669</v>
      </c>
      <c r="G12" s="74">
        <v>0.58333333333333337</v>
      </c>
      <c r="H12" s="82">
        <f t="shared" si="0"/>
        <v>0.16666666666666669</v>
      </c>
      <c r="I12" s="83"/>
      <c r="J12" s="83"/>
      <c r="K12" s="83"/>
      <c r="L12" s="83"/>
      <c r="M12" s="83"/>
    </row>
    <row r="13" spans="1:15" s="84" customFormat="1" hidden="1" x14ac:dyDescent="0.25">
      <c r="A13" s="81">
        <v>3</v>
      </c>
      <c r="B13" s="43" t="s">
        <v>26</v>
      </c>
      <c r="C13" s="40" t="s">
        <v>4</v>
      </c>
      <c r="D13" s="53" t="s">
        <v>102</v>
      </c>
      <c r="E13" s="105" t="s">
        <v>15</v>
      </c>
      <c r="F13" s="155">
        <v>0.33333333333333331</v>
      </c>
      <c r="G13" s="155">
        <v>0.41666666666666669</v>
      </c>
      <c r="H13" s="82">
        <f t="shared" si="0"/>
        <v>8.333333333333337E-2</v>
      </c>
      <c r="I13" s="83"/>
      <c r="J13" s="83"/>
      <c r="K13" s="83"/>
      <c r="L13" s="83"/>
      <c r="M13" s="83"/>
    </row>
    <row r="14" spans="1:15" s="84" customFormat="1" hidden="1" x14ac:dyDescent="0.25">
      <c r="A14" s="81">
        <v>3</v>
      </c>
      <c r="B14" s="43" t="s">
        <v>26</v>
      </c>
      <c r="C14" s="40" t="s">
        <v>4</v>
      </c>
      <c r="D14" s="53" t="s">
        <v>103</v>
      </c>
      <c r="E14" s="105" t="s">
        <v>15</v>
      </c>
      <c r="F14" s="109">
        <v>0.41666666666666669</v>
      </c>
      <c r="G14" s="109">
        <v>0.5</v>
      </c>
      <c r="H14" s="82">
        <f t="shared" si="0"/>
        <v>8.3333333333333315E-2</v>
      </c>
      <c r="I14" s="83"/>
      <c r="J14" s="83"/>
      <c r="K14" s="83"/>
      <c r="L14" s="83"/>
      <c r="M14" s="83"/>
    </row>
    <row r="15" spans="1:15" s="84" customFormat="1" hidden="1" x14ac:dyDescent="0.25">
      <c r="A15" s="81">
        <v>3</v>
      </c>
      <c r="B15" s="43" t="s">
        <v>26</v>
      </c>
      <c r="C15" s="40" t="s">
        <v>4</v>
      </c>
      <c r="D15" s="81" t="s">
        <v>104</v>
      </c>
      <c r="E15" s="105" t="s">
        <v>15</v>
      </c>
      <c r="F15" s="109">
        <v>0.5</v>
      </c>
      <c r="G15" s="109">
        <v>0.58333333333333337</v>
      </c>
      <c r="H15" s="82">
        <f t="shared" si="0"/>
        <v>8.333333333333337E-2</v>
      </c>
      <c r="I15" s="83"/>
      <c r="J15" s="83"/>
      <c r="K15" s="83"/>
      <c r="L15" s="83"/>
      <c r="M15" s="83"/>
    </row>
    <row r="16" spans="1:15" s="84" customFormat="1" hidden="1" x14ac:dyDescent="0.25">
      <c r="A16" s="81">
        <v>3</v>
      </c>
      <c r="B16" s="43" t="s">
        <v>24</v>
      </c>
      <c r="C16" s="40" t="s">
        <v>4</v>
      </c>
      <c r="D16" s="53" t="s">
        <v>102</v>
      </c>
      <c r="E16" s="106" t="s">
        <v>17</v>
      </c>
      <c r="F16" s="73">
        <v>0.33333333333333331</v>
      </c>
      <c r="G16" s="74">
        <v>0.45833333333333331</v>
      </c>
      <c r="H16" s="82">
        <f t="shared" si="0"/>
        <v>0.125</v>
      </c>
      <c r="I16" s="83"/>
      <c r="J16" s="83"/>
      <c r="K16" s="83"/>
      <c r="L16" s="83"/>
      <c r="M16" s="83"/>
    </row>
    <row r="17" spans="1:13" s="84" customFormat="1" hidden="1" x14ac:dyDescent="0.25">
      <c r="A17" s="81">
        <v>3</v>
      </c>
      <c r="B17" s="43" t="s">
        <v>24</v>
      </c>
      <c r="C17" s="40" t="s">
        <v>4</v>
      </c>
      <c r="D17" s="53" t="s">
        <v>103</v>
      </c>
      <c r="E17" s="106" t="s">
        <v>17</v>
      </c>
      <c r="F17" s="73">
        <v>0.45833333333333331</v>
      </c>
      <c r="G17" s="74">
        <v>0.54166666666666663</v>
      </c>
      <c r="H17" s="82">
        <f t="shared" si="0"/>
        <v>8.3333333333333315E-2</v>
      </c>
      <c r="I17" s="83"/>
      <c r="J17" s="83"/>
      <c r="K17" s="83"/>
      <c r="L17" s="83"/>
      <c r="M17" s="83"/>
    </row>
    <row r="18" spans="1:13" s="69" customFormat="1" ht="15" hidden="1" customHeight="1" x14ac:dyDescent="0.25">
      <c r="A18" s="67">
        <v>4</v>
      </c>
      <c r="B18" s="75" t="s">
        <v>32</v>
      </c>
      <c r="C18" s="37" t="s">
        <v>4</v>
      </c>
      <c r="D18" s="54" t="s">
        <v>102</v>
      </c>
      <c r="E18" s="38" t="s">
        <v>13</v>
      </c>
      <c r="F18" s="39">
        <v>0.33333333333333331</v>
      </c>
      <c r="G18" s="39">
        <v>0.45833333333333331</v>
      </c>
      <c r="H18" s="70">
        <f t="shared" si="0"/>
        <v>0.125</v>
      </c>
      <c r="I18" s="68"/>
      <c r="J18" s="68"/>
      <c r="K18" s="68"/>
      <c r="L18" s="68"/>
      <c r="M18" s="68"/>
    </row>
    <row r="19" spans="1:13" s="69" customFormat="1" hidden="1" x14ac:dyDescent="0.25">
      <c r="A19" s="67">
        <v>4</v>
      </c>
      <c r="B19" s="75" t="s">
        <v>32</v>
      </c>
      <c r="C19" s="37" t="s">
        <v>4</v>
      </c>
      <c r="D19" s="54" t="s">
        <v>103</v>
      </c>
      <c r="E19" s="38" t="s">
        <v>13</v>
      </c>
      <c r="F19" s="77">
        <v>0.45833333333333331</v>
      </c>
      <c r="G19" s="77">
        <v>0.54166666666666663</v>
      </c>
      <c r="H19" s="70">
        <f t="shared" si="0"/>
        <v>8.3333333333333315E-2</v>
      </c>
      <c r="I19" s="68"/>
      <c r="J19" s="68"/>
      <c r="K19" s="68"/>
      <c r="L19" s="68"/>
      <c r="M19" s="68"/>
    </row>
    <row r="20" spans="1:13" s="69" customFormat="1" hidden="1" x14ac:dyDescent="0.25">
      <c r="A20" s="67">
        <v>4</v>
      </c>
      <c r="B20" s="75" t="s">
        <v>33</v>
      </c>
      <c r="C20" s="37" t="s">
        <v>4</v>
      </c>
      <c r="D20" s="54" t="s">
        <v>102</v>
      </c>
      <c r="E20" s="38" t="s">
        <v>14</v>
      </c>
      <c r="F20" s="76">
        <v>0.33333333333333331</v>
      </c>
      <c r="G20" s="76">
        <v>0.45833333333333331</v>
      </c>
      <c r="H20" s="70">
        <f t="shared" si="0"/>
        <v>0.125</v>
      </c>
      <c r="I20" s="68"/>
      <c r="J20" s="68"/>
      <c r="K20" s="68"/>
      <c r="L20" s="68"/>
      <c r="M20" s="68"/>
    </row>
    <row r="21" spans="1:13" s="69" customFormat="1" hidden="1" x14ac:dyDescent="0.25">
      <c r="A21" s="67">
        <v>4</v>
      </c>
      <c r="B21" s="75" t="s">
        <v>33</v>
      </c>
      <c r="C21" s="37" t="s">
        <v>4</v>
      </c>
      <c r="D21" s="54" t="s">
        <v>103</v>
      </c>
      <c r="E21" s="38" t="s">
        <v>14</v>
      </c>
      <c r="F21" s="76">
        <v>0.45833333333333331</v>
      </c>
      <c r="G21" s="76">
        <v>0.54166666666666663</v>
      </c>
      <c r="H21" s="70">
        <f t="shared" si="0"/>
        <v>8.3333333333333315E-2</v>
      </c>
      <c r="I21" s="68"/>
      <c r="J21" s="68"/>
      <c r="K21" s="68"/>
      <c r="L21" s="68"/>
      <c r="M21" s="68"/>
    </row>
    <row r="22" spans="1:13" s="69" customFormat="1" hidden="1" x14ac:dyDescent="0.25">
      <c r="A22" s="67">
        <v>4</v>
      </c>
      <c r="B22" s="75" t="s">
        <v>34</v>
      </c>
      <c r="C22" s="37" t="s">
        <v>4</v>
      </c>
      <c r="D22" s="54" t="s">
        <v>102</v>
      </c>
      <c r="E22" s="38" t="s">
        <v>13</v>
      </c>
      <c r="F22" s="76">
        <v>0.58333333333333337</v>
      </c>
      <c r="G22" s="76">
        <v>0.66666666666666663</v>
      </c>
      <c r="H22" s="70">
        <f t="shared" si="0"/>
        <v>8.3333333333333259E-2</v>
      </c>
      <c r="I22" s="68"/>
      <c r="J22" s="68"/>
      <c r="K22" s="68"/>
      <c r="L22" s="68"/>
      <c r="M22" s="68"/>
    </row>
    <row r="23" spans="1:13" s="69" customFormat="1" hidden="1" x14ac:dyDescent="0.25">
      <c r="A23" s="67">
        <v>4</v>
      </c>
      <c r="B23" s="75" t="s">
        <v>34</v>
      </c>
      <c r="C23" s="37" t="s">
        <v>4</v>
      </c>
      <c r="D23" s="54" t="s">
        <v>103</v>
      </c>
      <c r="E23" s="38" t="s">
        <v>13</v>
      </c>
      <c r="F23" s="76">
        <v>0.66666666666666663</v>
      </c>
      <c r="G23" s="76">
        <v>0.75</v>
      </c>
      <c r="H23" s="70">
        <f t="shared" si="0"/>
        <v>8.333333333333337E-2</v>
      </c>
      <c r="I23" s="68"/>
      <c r="J23" s="68"/>
      <c r="K23" s="68"/>
      <c r="L23" s="68"/>
      <c r="M23" s="68"/>
    </row>
    <row r="24" spans="1:13" s="69" customFormat="1" hidden="1" x14ac:dyDescent="0.25">
      <c r="A24" s="67">
        <v>4</v>
      </c>
      <c r="B24" s="75" t="s">
        <v>31</v>
      </c>
      <c r="C24" s="37" t="s">
        <v>4</v>
      </c>
      <c r="D24" s="54" t="s">
        <v>102</v>
      </c>
      <c r="E24" s="38" t="s">
        <v>17</v>
      </c>
      <c r="F24" s="76">
        <v>0.33333333333333331</v>
      </c>
      <c r="G24" s="76">
        <v>0.41666666666666669</v>
      </c>
      <c r="H24" s="70">
        <f t="shared" si="0"/>
        <v>8.333333333333337E-2</v>
      </c>
      <c r="I24" s="68"/>
      <c r="J24" s="68"/>
      <c r="K24" s="68"/>
      <c r="L24" s="68"/>
      <c r="M24" s="68"/>
    </row>
    <row r="25" spans="1:13" s="69" customFormat="1" hidden="1" x14ac:dyDescent="0.25">
      <c r="A25" s="67">
        <v>4</v>
      </c>
      <c r="B25" s="75" t="s">
        <v>31</v>
      </c>
      <c r="C25" s="37" t="s">
        <v>4</v>
      </c>
      <c r="D25" s="54" t="s">
        <v>104</v>
      </c>
      <c r="E25" s="38" t="s">
        <v>17</v>
      </c>
      <c r="F25" s="76">
        <v>0.41666666666666669</v>
      </c>
      <c r="G25" s="76">
        <v>0.5</v>
      </c>
      <c r="H25" s="70">
        <f t="shared" si="0"/>
        <v>8.3333333333333315E-2</v>
      </c>
      <c r="I25" s="68"/>
      <c r="J25" s="68"/>
      <c r="K25" s="68"/>
      <c r="L25" s="68"/>
      <c r="M25" s="68"/>
    </row>
    <row r="26" spans="1:13" s="69" customFormat="1" hidden="1" x14ac:dyDescent="0.25">
      <c r="A26" s="67">
        <v>4</v>
      </c>
      <c r="B26" s="75" t="s">
        <v>29</v>
      </c>
      <c r="C26" s="37" t="s">
        <v>4</v>
      </c>
      <c r="D26" s="54" t="s">
        <v>102</v>
      </c>
      <c r="E26" s="38" t="s">
        <v>15</v>
      </c>
      <c r="F26" s="76">
        <v>0.33333333333333331</v>
      </c>
      <c r="G26" s="76">
        <v>0.41666666666666669</v>
      </c>
      <c r="H26" s="70">
        <f t="shared" si="0"/>
        <v>8.333333333333337E-2</v>
      </c>
      <c r="I26" s="68"/>
      <c r="J26" s="68"/>
      <c r="K26" s="68"/>
      <c r="L26" s="68"/>
      <c r="M26" s="68"/>
    </row>
    <row r="27" spans="1:13" s="69" customFormat="1" hidden="1" x14ac:dyDescent="0.25">
      <c r="A27" s="67">
        <v>4</v>
      </c>
      <c r="B27" s="75" t="s">
        <v>29</v>
      </c>
      <c r="C27" s="37" t="s">
        <v>4</v>
      </c>
      <c r="D27" s="54" t="s">
        <v>103</v>
      </c>
      <c r="E27" s="38" t="s">
        <v>15</v>
      </c>
      <c r="F27" s="76">
        <v>0.41666666666666669</v>
      </c>
      <c r="G27" s="76">
        <v>0.5</v>
      </c>
      <c r="H27" s="70">
        <f t="shared" si="0"/>
        <v>8.3333333333333315E-2</v>
      </c>
      <c r="I27" s="68"/>
      <c r="J27" s="68"/>
      <c r="K27" s="68"/>
      <c r="L27" s="68"/>
      <c r="M27" s="68"/>
    </row>
    <row r="28" spans="1:13" s="69" customFormat="1" hidden="1" x14ac:dyDescent="0.25">
      <c r="A28" s="67">
        <v>4</v>
      </c>
      <c r="B28" s="75" t="s">
        <v>29</v>
      </c>
      <c r="C28" s="37" t="s">
        <v>4</v>
      </c>
      <c r="D28" s="67" t="s">
        <v>104</v>
      </c>
      <c r="E28" s="38" t="s">
        <v>15</v>
      </c>
      <c r="F28" s="76">
        <v>0.5</v>
      </c>
      <c r="G28" s="76">
        <v>0.58333333333333337</v>
      </c>
      <c r="H28" s="70">
        <f t="shared" si="0"/>
        <v>8.333333333333337E-2</v>
      </c>
      <c r="I28" s="68"/>
      <c r="J28" s="68"/>
      <c r="K28" s="68"/>
      <c r="L28" s="68"/>
      <c r="M28" s="68"/>
    </row>
    <row r="29" spans="1:13" s="69" customFormat="1" hidden="1" x14ac:dyDescent="0.25">
      <c r="A29" s="67">
        <v>4</v>
      </c>
      <c r="B29" s="75" t="s">
        <v>30</v>
      </c>
      <c r="C29" s="37" t="s">
        <v>4</v>
      </c>
      <c r="D29" s="54" t="s">
        <v>102</v>
      </c>
      <c r="E29" s="38" t="s">
        <v>16</v>
      </c>
      <c r="F29" s="76">
        <v>0.33333333333333331</v>
      </c>
      <c r="G29" s="76">
        <v>0.41666666666666669</v>
      </c>
      <c r="H29" s="70">
        <f t="shared" si="0"/>
        <v>8.333333333333337E-2</v>
      </c>
      <c r="I29" s="68"/>
      <c r="J29" s="68"/>
      <c r="K29" s="68"/>
      <c r="L29" s="68"/>
      <c r="M29" s="68"/>
    </row>
    <row r="30" spans="1:13" s="69" customFormat="1" hidden="1" x14ac:dyDescent="0.25">
      <c r="A30" s="67">
        <v>4</v>
      </c>
      <c r="B30" s="75" t="s">
        <v>30</v>
      </c>
      <c r="C30" s="37" t="s">
        <v>4</v>
      </c>
      <c r="D30" s="54" t="s">
        <v>103</v>
      </c>
      <c r="E30" s="38" t="s">
        <v>16</v>
      </c>
      <c r="F30" s="76">
        <v>0.41666666666666669</v>
      </c>
      <c r="G30" s="76">
        <v>0.5</v>
      </c>
      <c r="H30" s="70">
        <f t="shared" si="0"/>
        <v>8.3333333333333315E-2</v>
      </c>
      <c r="I30" s="68"/>
      <c r="J30" s="68"/>
      <c r="K30" s="68"/>
      <c r="L30" s="68"/>
      <c r="M30" s="68"/>
    </row>
    <row r="31" spans="1:13" s="69" customFormat="1" hidden="1" x14ac:dyDescent="0.25">
      <c r="A31" s="67">
        <v>4</v>
      </c>
      <c r="B31" s="75" t="s">
        <v>30</v>
      </c>
      <c r="C31" s="37" t="s">
        <v>4</v>
      </c>
      <c r="D31" s="67" t="s">
        <v>104</v>
      </c>
      <c r="E31" s="38" t="s">
        <v>16</v>
      </c>
      <c r="F31" s="77">
        <v>0.5</v>
      </c>
      <c r="G31" s="77">
        <v>0.58333333333333337</v>
      </c>
      <c r="H31" s="70">
        <f t="shared" si="0"/>
        <v>8.333333333333337E-2</v>
      </c>
      <c r="I31" s="68"/>
      <c r="J31" s="68"/>
      <c r="K31" s="68"/>
      <c r="L31" s="68"/>
      <c r="M31" s="68"/>
    </row>
    <row r="32" spans="1:13" s="114" customFormat="1" ht="15" hidden="1" customHeight="1" x14ac:dyDescent="0.25">
      <c r="A32" s="110">
        <v>4</v>
      </c>
      <c r="B32" s="111" t="s">
        <v>32</v>
      </c>
      <c r="C32" s="58" t="s">
        <v>6</v>
      </c>
      <c r="D32" s="59" t="s">
        <v>102</v>
      </c>
      <c r="E32" s="60" t="s">
        <v>14</v>
      </c>
      <c r="F32" s="61">
        <v>0.58333333333333337</v>
      </c>
      <c r="G32" s="61">
        <v>0.70833333333333337</v>
      </c>
      <c r="H32" s="112">
        <f t="shared" si="0"/>
        <v>0.125</v>
      </c>
      <c r="I32" s="113"/>
      <c r="J32" s="113"/>
      <c r="K32" s="113"/>
      <c r="L32" s="113"/>
      <c r="M32" s="113"/>
    </row>
    <row r="33" spans="1:13" s="114" customFormat="1" hidden="1" x14ac:dyDescent="0.25">
      <c r="A33" s="110">
        <v>4</v>
      </c>
      <c r="B33" s="111" t="s">
        <v>32</v>
      </c>
      <c r="C33" s="58" t="s">
        <v>6</v>
      </c>
      <c r="D33" s="59" t="s">
        <v>103</v>
      </c>
      <c r="E33" s="60" t="s">
        <v>14</v>
      </c>
      <c r="F33" s="61">
        <v>0.70833333333333337</v>
      </c>
      <c r="G33" s="115">
        <v>0.79166666666666663</v>
      </c>
      <c r="H33" s="112">
        <f t="shared" si="0"/>
        <v>8.3333333333333259E-2</v>
      </c>
      <c r="I33" s="113"/>
      <c r="J33" s="113"/>
      <c r="K33" s="113"/>
      <c r="L33" s="113"/>
      <c r="M33" s="113"/>
    </row>
    <row r="34" spans="1:13" s="114" customFormat="1" hidden="1" x14ac:dyDescent="0.25">
      <c r="A34" s="110">
        <v>4</v>
      </c>
      <c r="B34" s="111" t="s">
        <v>33</v>
      </c>
      <c r="C34" s="58" t="s">
        <v>6</v>
      </c>
      <c r="D34" s="59" t="s">
        <v>102</v>
      </c>
      <c r="E34" s="60" t="s">
        <v>17</v>
      </c>
      <c r="F34" s="116">
        <v>0.33333333333333331</v>
      </c>
      <c r="G34" s="116">
        <v>0.45833333333333331</v>
      </c>
      <c r="H34" s="112">
        <f t="shared" si="0"/>
        <v>0.125</v>
      </c>
      <c r="I34" s="113"/>
      <c r="J34" s="113"/>
      <c r="K34" s="113"/>
      <c r="L34" s="113"/>
      <c r="M34" s="113"/>
    </row>
    <row r="35" spans="1:13" s="114" customFormat="1" hidden="1" x14ac:dyDescent="0.25">
      <c r="A35" s="110">
        <v>4</v>
      </c>
      <c r="B35" s="111" t="s">
        <v>33</v>
      </c>
      <c r="C35" s="58" t="s">
        <v>6</v>
      </c>
      <c r="D35" s="59" t="s">
        <v>103</v>
      </c>
      <c r="E35" s="117" t="s">
        <v>17</v>
      </c>
      <c r="F35" s="116">
        <v>0.45833333333333331</v>
      </c>
      <c r="G35" s="116">
        <v>0.54166666666666663</v>
      </c>
      <c r="H35" s="112">
        <f t="shared" si="0"/>
        <v>8.3333333333333315E-2</v>
      </c>
      <c r="I35" s="113"/>
      <c r="J35" s="113"/>
      <c r="K35" s="113"/>
      <c r="L35" s="113"/>
      <c r="M35" s="113"/>
    </row>
    <row r="36" spans="1:13" s="114" customFormat="1" hidden="1" x14ac:dyDescent="0.25">
      <c r="A36" s="110">
        <v>4</v>
      </c>
      <c r="B36" s="111" t="s">
        <v>34</v>
      </c>
      <c r="C36" s="58" t="s">
        <v>6</v>
      </c>
      <c r="D36" s="59" t="s">
        <v>102</v>
      </c>
      <c r="E36" s="117" t="s">
        <v>13</v>
      </c>
      <c r="F36" s="61">
        <v>0.33333333333333331</v>
      </c>
      <c r="G36" s="61">
        <v>0.41666666666666669</v>
      </c>
      <c r="H36" s="112">
        <f t="shared" si="0"/>
        <v>8.333333333333337E-2</v>
      </c>
      <c r="I36" s="113"/>
      <c r="J36" s="113"/>
      <c r="K36" s="113"/>
      <c r="L36" s="113"/>
      <c r="M36" s="113"/>
    </row>
    <row r="37" spans="1:13" s="114" customFormat="1" hidden="1" x14ac:dyDescent="0.25">
      <c r="A37" s="110">
        <v>4</v>
      </c>
      <c r="B37" s="111" t="s">
        <v>34</v>
      </c>
      <c r="C37" s="58" t="s">
        <v>6</v>
      </c>
      <c r="D37" s="59" t="s">
        <v>103</v>
      </c>
      <c r="E37" s="60" t="s">
        <v>13</v>
      </c>
      <c r="F37" s="61">
        <v>0.41666666666666669</v>
      </c>
      <c r="G37" s="61">
        <v>0.5</v>
      </c>
      <c r="H37" s="112">
        <f t="shared" ref="H37:H68" si="1">G37-F37</f>
        <v>8.3333333333333315E-2</v>
      </c>
      <c r="I37" s="113"/>
      <c r="J37" s="113"/>
      <c r="K37" s="113"/>
      <c r="L37" s="113"/>
      <c r="M37" s="113"/>
    </row>
    <row r="38" spans="1:13" s="114" customFormat="1" hidden="1" x14ac:dyDescent="0.25">
      <c r="A38" s="110">
        <v>4</v>
      </c>
      <c r="B38" s="111" t="s">
        <v>31</v>
      </c>
      <c r="C38" s="58" t="s">
        <v>6</v>
      </c>
      <c r="D38" s="59" t="s">
        <v>102</v>
      </c>
      <c r="E38" s="117" t="s">
        <v>16</v>
      </c>
      <c r="F38" s="61">
        <v>0.58333333333333337</v>
      </c>
      <c r="G38" s="61">
        <v>0.66666666666666663</v>
      </c>
      <c r="H38" s="112">
        <f t="shared" si="1"/>
        <v>8.3333333333333259E-2</v>
      </c>
      <c r="I38" s="113"/>
      <c r="J38" s="113"/>
      <c r="K38" s="113"/>
      <c r="L38" s="113"/>
      <c r="M38" s="113"/>
    </row>
    <row r="39" spans="1:13" s="114" customFormat="1" hidden="1" x14ac:dyDescent="0.25">
      <c r="A39" s="110">
        <v>4</v>
      </c>
      <c r="B39" s="111" t="s">
        <v>31</v>
      </c>
      <c r="C39" s="58" t="s">
        <v>6</v>
      </c>
      <c r="D39" s="59" t="s">
        <v>104</v>
      </c>
      <c r="E39" s="117" t="s">
        <v>16</v>
      </c>
      <c r="F39" s="61">
        <v>0.66666666666666663</v>
      </c>
      <c r="G39" s="61">
        <v>0.75</v>
      </c>
      <c r="H39" s="112">
        <f t="shared" si="1"/>
        <v>8.333333333333337E-2</v>
      </c>
      <c r="I39" s="113"/>
      <c r="J39" s="113"/>
      <c r="K39" s="113"/>
      <c r="L39" s="113"/>
      <c r="M39" s="113"/>
    </row>
    <row r="40" spans="1:13" s="114" customFormat="1" hidden="1" x14ac:dyDescent="0.25">
      <c r="A40" s="110">
        <v>4</v>
      </c>
      <c r="B40" s="111" t="s">
        <v>29</v>
      </c>
      <c r="C40" s="58" t="s">
        <v>6</v>
      </c>
      <c r="D40" s="58" t="s">
        <v>102</v>
      </c>
      <c r="E40" s="60" t="s">
        <v>13</v>
      </c>
      <c r="F40" s="61">
        <v>0.58333333333333337</v>
      </c>
      <c r="G40" s="61">
        <v>0.66666666666666663</v>
      </c>
      <c r="H40" s="112">
        <f t="shared" si="1"/>
        <v>8.3333333333333259E-2</v>
      </c>
      <c r="I40" s="113"/>
      <c r="J40" s="113"/>
      <c r="K40" s="113"/>
      <c r="L40" s="113"/>
      <c r="M40" s="113"/>
    </row>
    <row r="41" spans="1:13" s="114" customFormat="1" hidden="1" x14ac:dyDescent="0.25">
      <c r="A41" s="110">
        <v>4</v>
      </c>
      <c r="B41" s="111" t="s">
        <v>29</v>
      </c>
      <c r="C41" s="58" t="s">
        <v>6</v>
      </c>
      <c r="D41" s="58" t="s">
        <v>103</v>
      </c>
      <c r="E41" s="60" t="s">
        <v>17</v>
      </c>
      <c r="F41" s="61">
        <v>0.58333333333333337</v>
      </c>
      <c r="G41" s="61">
        <v>0.66666666666666663</v>
      </c>
      <c r="H41" s="112">
        <f t="shared" si="1"/>
        <v>8.3333333333333259E-2</v>
      </c>
      <c r="I41" s="113"/>
      <c r="J41" s="113"/>
      <c r="K41" s="113"/>
      <c r="L41" s="113"/>
      <c r="M41" s="113"/>
    </row>
    <row r="42" spans="1:13" s="114" customFormat="1" hidden="1" x14ac:dyDescent="0.25">
      <c r="A42" s="110">
        <v>4</v>
      </c>
      <c r="B42" s="111" t="s">
        <v>29</v>
      </c>
      <c r="C42" s="58" t="s">
        <v>6</v>
      </c>
      <c r="D42" s="110" t="s">
        <v>104</v>
      </c>
      <c r="E42" s="60" t="s">
        <v>17</v>
      </c>
      <c r="F42" s="61">
        <v>0.66666666666666663</v>
      </c>
      <c r="G42" s="61">
        <v>0.75</v>
      </c>
      <c r="H42" s="112">
        <f t="shared" si="1"/>
        <v>8.333333333333337E-2</v>
      </c>
      <c r="I42" s="113"/>
      <c r="J42" s="113"/>
      <c r="K42" s="113"/>
      <c r="L42" s="113"/>
      <c r="M42" s="113"/>
    </row>
    <row r="43" spans="1:13" s="114" customFormat="1" hidden="1" x14ac:dyDescent="0.25">
      <c r="A43" s="110">
        <v>4</v>
      </c>
      <c r="B43" s="111" t="s">
        <v>30</v>
      </c>
      <c r="C43" s="58" t="s">
        <v>6</v>
      </c>
      <c r="D43" s="58" t="s">
        <v>102</v>
      </c>
      <c r="E43" s="117" t="s">
        <v>15</v>
      </c>
      <c r="F43" s="61">
        <v>0.33333333333333331</v>
      </c>
      <c r="G43" s="61">
        <v>0.41666666666666669</v>
      </c>
      <c r="H43" s="112">
        <f t="shared" si="1"/>
        <v>8.333333333333337E-2</v>
      </c>
      <c r="I43" s="113"/>
      <c r="J43" s="113"/>
      <c r="K43" s="113"/>
      <c r="L43" s="113"/>
      <c r="M43" s="113"/>
    </row>
    <row r="44" spans="1:13" s="114" customFormat="1" hidden="1" x14ac:dyDescent="0.25">
      <c r="A44" s="110">
        <v>4</v>
      </c>
      <c r="B44" s="111" t="s">
        <v>30</v>
      </c>
      <c r="C44" s="58" t="s">
        <v>6</v>
      </c>
      <c r="D44" s="58" t="s">
        <v>103</v>
      </c>
      <c r="E44" s="117" t="s">
        <v>15</v>
      </c>
      <c r="F44" s="61">
        <v>0.41666666666666669</v>
      </c>
      <c r="G44" s="61">
        <v>0.5</v>
      </c>
      <c r="H44" s="112">
        <f t="shared" si="1"/>
        <v>8.3333333333333315E-2</v>
      </c>
      <c r="I44" s="113"/>
      <c r="J44" s="113"/>
      <c r="K44" s="113"/>
      <c r="L44" s="113"/>
      <c r="M44" s="113"/>
    </row>
    <row r="45" spans="1:13" s="114" customFormat="1" hidden="1" x14ac:dyDescent="0.25">
      <c r="A45" s="110">
        <v>4</v>
      </c>
      <c r="B45" s="111" t="s">
        <v>30</v>
      </c>
      <c r="C45" s="58" t="s">
        <v>6</v>
      </c>
      <c r="D45" s="110" t="s">
        <v>104</v>
      </c>
      <c r="E45" s="117" t="s">
        <v>15</v>
      </c>
      <c r="F45" s="61">
        <v>0.5</v>
      </c>
      <c r="G45" s="61">
        <v>0.58333333333333337</v>
      </c>
      <c r="H45" s="112">
        <f t="shared" si="1"/>
        <v>8.333333333333337E-2</v>
      </c>
      <c r="I45" s="113"/>
      <c r="J45" s="113"/>
      <c r="K45" s="113"/>
      <c r="L45" s="113"/>
      <c r="M45" s="113"/>
    </row>
    <row r="46" spans="1:13" s="124" customFormat="1" ht="15" hidden="1" customHeight="1" x14ac:dyDescent="0.25">
      <c r="A46" s="118">
        <v>4</v>
      </c>
      <c r="B46" s="156" t="s">
        <v>32</v>
      </c>
      <c r="C46" s="119" t="s">
        <v>7</v>
      </c>
      <c r="D46" s="78" t="s">
        <v>102</v>
      </c>
      <c r="E46" s="79" t="s">
        <v>13</v>
      </c>
      <c r="F46" s="80">
        <v>0.33333333333333331</v>
      </c>
      <c r="G46" s="80">
        <v>0.45833333333333331</v>
      </c>
      <c r="H46" s="122">
        <f t="shared" si="1"/>
        <v>0.125</v>
      </c>
      <c r="I46" s="123"/>
      <c r="J46" s="123"/>
      <c r="K46" s="123"/>
      <c r="L46" s="123"/>
      <c r="M46" s="123"/>
    </row>
    <row r="47" spans="1:13" s="124" customFormat="1" hidden="1" x14ac:dyDescent="0.25">
      <c r="A47" s="118">
        <v>4</v>
      </c>
      <c r="B47" s="156" t="s">
        <v>32</v>
      </c>
      <c r="C47" s="119" t="s">
        <v>7</v>
      </c>
      <c r="D47" s="78" t="s">
        <v>103</v>
      </c>
      <c r="E47" s="79" t="s">
        <v>13</v>
      </c>
      <c r="F47" s="157">
        <v>0.45833333333333331</v>
      </c>
      <c r="G47" s="157">
        <v>0.54166666666666663</v>
      </c>
      <c r="H47" s="122">
        <f t="shared" si="1"/>
        <v>8.3333333333333315E-2</v>
      </c>
      <c r="I47" s="123"/>
      <c r="J47" s="123"/>
      <c r="K47" s="123"/>
      <c r="L47" s="123"/>
      <c r="M47" s="123"/>
    </row>
    <row r="48" spans="1:13" s="124" customFormat="1" hidden="1" x14ac:dyDescent="0.25">
      <c r="A48" s="118">
        <v>4</v>
      </c>
      <c r="B48" s="156" t="s">
        <v>33</v>
      </c>
      <c r="C48" s="119" t="s">
        <v>7</v>
      </c>
      <c r="D48" s="78" t="s">
        <v>102</v>
      </c>
      <c r="E48" s="79" t="s">
        <v>14</v>
      </c>
      <c r="F48" s="158">
        <v>0.33333333333333331</v>
      </c>
      <c r="G48" s="158">
        <v>0.45833333333333331</v>
      </c>
      <c r="H48" s="122">
        <f t="shared" si="1"/>
        <v>0.125</v>
      </c>
      <c r="I48" s="123"/>
      <c r="J48" s="123"/>
      <c r="K48" s="123"/>
      <c r="L48" s="123"/>
      <c r="M48" s="123"/>
    </row>
    <row r="49" spans="1:15" s="124" customFormat="1" hidden="1" x14ac:dyDescent="0.25">
      <c r="A49" s="118">
        <v>4</v>
      </c>
      <c r="B49" s="156" t="s">
        <v>33</v>
      </c>
      <c r="C49" s="119" t="s">
        <v>7</v>
      </c>
      <c r="D49" s="78" t="s">
        <v>103</v>
      </c>
      <c r="E49" s="79" t="s">
        <v>14</v>
      </c>
      <c r="F49" s="158">
        <v>0.45833333333333331</v>
      </c>
      <c r="G49" s="158">
        <v>0.54166666666666663</v>
      </c>
      <c r="H49" s="122">
        <f t="shared" si="1"/>
        <v>8.3333333333333315E-2</v>
      </c>
      <c r="I49" s="123"/>
      <c r="J49" s="123"/>
      <c r="K49" s="123"/>
      <c r="L49" s="123"/>
      <c r="M49" s="123"/>
    </row>
    <row r="50" spans="1:15" s="124" customFormat="1" hidden="1" x14ac:dyDescent="0.25">
      <c r="A50" s="118">
        <v>4</v>
      </c>
      <c r="B50" s="156" t="s">
        <v>34</v>
      </c>
      <c r="C50" s="119" t="s">
        <v>7</v>
      </c>
      <c r="D50" s="78" t="s">
        <v>102</v>
      </c>
      <c r="E50" s="79" t="s">
        <v>13</v>
      </c>
      <c r="F50" s="158">
        <v>0.58333333333333337</v>
      </c>
      <c r="G50" s="158">
        <v>0.66666666666666663</v>
      </c>
      <c r="H50" s="122">
        <f t="shared" si="1"/>
        <v>8.3333333333333259E-2</v>
      </c>
      <c r="I50" s="123"/>
      <c r="J50" s="123"/>
      <c r="K50" s="123"/>
      <c r="L50" s="123"/>
      <c r="M50" s="123"/>
    </row>
    <row r="51" spans="1:15" s="124" customFormat="1" hidden="1" x14ac:dyDescent="0.25">
      <c r="A51" s="118">
        <v>4</v>
      </c>
      <c r="B51" s="156" t="s">
        <v>34</v>
      </c>
      <c r="C51" s="119" t="s">
        <v>7</v>
      </c>
      <c r="D51" s="78" t="s">
        <v>103</v>
      </c>
      <c r="E51" s="79" t="s">
        <v>13</v>
      </c>
      <c r="F51" s="158">
        <v>0.66666666666666663</v>
      </c>
      <c r="G51" s="158">
        <v>0.75</v>
      </c>
      <c r="H51" s="122">
        <f t="shared" si="1"/>
        <v>8.333333333333337E-2</v>
      </c>
      <c r="I51" s="123"/>
      <c r="J51" s="123"/>
      <c r="K51" s="123"/>
      <c r="L51" s="123"/>
      <c r="M51" s="123"/>
    </row>
    <row r="52" spans="1:15" s="124" customFormat="1" hidden="1" x14ac:dyDescent="0.25">
      <c r="A52" s="118">
        <v>4</v>
      </c>
      <c r="B52" s="156" t="s">
        <v>31</v>
      </c>
      <c r="C52" s="119" t="s">
        <v>7</v>
      </c>
      <c r="D52" s="78" t="s">
        <v>102</v>
      </c>
      <c r="E52" s="79" t="s">
        <v>17</v>
      </c>
      <c r="F52" s="158">
        <v>0.33333333333333331</v>
      </c>
      <c r="G52" s="158">
        <v>0.41666666666666669</v>
      </c>
      <c r="H52" s="122">
        <f t="shared" si="1"/>
        <v>8.333333333333337E-2</v>
      </c>
      <c r="I52" s="123"/>
      <c r="J52" s="123"/>
      <c r="K52" s="123"/>
      <c r="L52" s="123"/>
      <c r="M52" s="123"/>
    </row>
    <row r="53" spans="1:15" s="124" customFormat="1" hidden="1" x14ac:dyDescent="0.25">
      <c r="A53" s="118">
        <v>4</v>
      </c>
      <c r="B53" s="156" t="s">
        <v>31</v>
      </c>
      <c r="C53" s="119" t="s">
        <v>7</v>
      </c>
      <c r="D53" s="78" t="s">
        <v>104</v>
      </c>
      <c r="E53" s="79" t="s">
        <v>17</v>
      </c>
      <c r="F53" s="158">
        <v>0.41666666666666669</v>
      </c>
      <c r="G53" s="158">
        <v>0.5</v>
      </c>
      <c r="H53" s="122">
        <f t="shared" si="1"/>
        <v>8.3333333333333315E-2</v>
      </c>
      <c r="I53" s="123"/>
      <c r="J53" s="123"/>
      <c r="K53" s="123"/>
      <c r="L53" s="123"/>
      <c r="M53" s="123"/>
    </row>
    <row r="54" spans="1:15" s="124" customFormat="1" hidden="1" x14ac:dyDescent="0.25">
      <c r="A54" s="118">
        <v>4</v>
      </c>
      <c r="B54" s="156" t="s">
        <v>29</v>
      </c>
      <c r="C54" s="119" t="s">
        <v>7</v>
      </c>
      <c r="D54" s="78" t="s">
        <v>102</v>
      </c>
      <c r="E54" s="79" t="s">
        <v>16</v>
      </c>
      <c r="F54" s="158">
        <v>0.33333333333333331</v>
      </c>
      <c r="G54" s="158">
        <v>0.41666666666666669</v>
      </c>
      <c r="H54" s="122">
        <f t="shared" si="1"/>
        <v>8.333333333333337E-2</v>
      </c>
      <c r="I54" s="123"/>
      <c r="J54" s="123"/>
      <c r="K54" s="123"/>
      <c r="L54" s="123"/>
      <c r="M54" s="123"/>
    </row>
    <row r="55" spans="1:15" s="124" customFormat="1" hidden="1" x14ac:dyDescent="0.25">
      <c r="A55" s="118">
        <v>4</v>
      </c>
      <c r="B55" s="156" t="s">
        <v>29</v>
      </c>
      <c r="C55" s="119" t="s">
        <v>7</v>
      </c>
      <c r="D55" s="78" t="s">
        <v>103</v>
      </c>
      <c r="E55" s="159" t="s">
        <v>16</v>
      </c>
      <c r="F55" s="158">
        <v>0.41666666666666669</v>
      </c>
      <c r="G55" s="158">
        <v>0.5</v>
      </c>
      <c r="H55" s="122">
        <f t="shared" si="1"/>
        <v>8.3333333333333315E-2</v>
      </c>
      <c r="I55" s="123"/>
      <c r="J55" s="123"/>
      <c r="K55" s="123"/>
      <c r="L55" s="123"/>
      <c r="M55" s="123"/>
    </row>
    <row r="56" spans="1:15" s="124" customFormat="1" hidden="1" x14ac:dyDescent="0.25">
      <c r="A56" s="118">
        <v>4</v>
      </c>
      <c r="B56" s="156" t="s">
        <v>29</v>
      </c>
      <c r="C56" s="119" t="s">
        <v>7</v>
      </c>
      <c r="D56" s="154" t="s">
        <v>104</v>
      </c>
      <c r="E56" s="79" t="s">
        <v>16</v>
      </c>
      <c r="F56" s="158">
        <v>0.5</v>
      </c>
      <c r="G56" s="158">
        <v>0.58333333333333337</v>
      </c>
      <c r="H56" s="122">
        <f t="shared" si="1"/>
        <v>8.333333333333337E-2</v>
      </c>
      <c r="I56" s="123"/>
      <c r="J56" s="123"/>
      <c r="K56" s="123"/>
      <c r="L56" s="123"/>
      <c r="M56" s="123"/>
    </row>
    <row r="57" spans="1:15" s="124" customFormat="1" hidden="1" x14ac:dyDescent="0.25">
      <c r="A57" s="118">
        <v>4</v>
      </c>
      <c r="B57" s="156" t="s">
        <v>30</v>
      </c>
      <c r="C57" s="119" t="s">
        <v>7</v>
      </c>
      <c r="D57" s="78" t="s">
        <v>102</v>
      </c>
      <c r="E57" s="159" t="s">
        <v>15</v>
      </c>
      <c r="F57" s="158">
        <v>0.33333333333333331</v>
      </c>
      <c r="G57" s="158">
        <v>0.41666666666666669</v>
      </c>
      <c r="H57" s="122">
        <f t="shared" si="1"/>
        <v>8.333333333333337E-2</v>
      </c>
      <c r="I57" s="123"/>
      <c r="J57" s="123"/>
      <c r="K57" s="123"/>
      <c r="L57" s="123"/>
      <c r="M57" s="123"/>
    </row>
    <row r="58" spans="1:15" s="124" customFormat="1" hidden="1" x14ac:dyDescent="0.25">
      <c r="A58" s="118">
        <v>4</v>
      </c>
      <c r="B58" s="156" t="s">
        <v>30</v>
      </c>
      <c r="C58" s="119" t="s">
        <v>7</v>
      </c>
      <c r="D58" s="78" t="s">
        <v>103</v>
      </c>
      <c r="E58" s="79" t="s">
        <v>15</v>
      </c>
      <c r="F58" s="158">
        <v>0.41666666666666669</v>
      </c>
      <c r="G58" s="158">
        <v>0.5</v>
      </c>
      <c r="H58" s="122">
        <f t="shared" si="1"/>
        <v>8.3333333333333315E-2</v>
      </c>
      <c r="I58" s="123"/>
      <c r="J58" s="123"/>
      <c r="K58" s="123"/>
      <c r="L58" s="123"/>
      <c r="M58" s="123"/>
    </row>
    <row r="59" spans="1:15" s="124" customFormat="1" hidden="1" x14ac:dyDescent="0.25">
      <c r="A59" s="118">
        <v>4</v>
      </c>
      <c r="B59" s="156" t="s">
        <v>30</v>
      </c>
      <c r="C59" s="119" t="s">
        <v>7</v>
      </c>
      <c r="D59" s="154" t="s">
        <v>104</v>
      </c>
      <c r="E59" s="79" t="s">
        <v>15</v>
      </c>
      <c r="F59" s="157">
        <v>0.5</v>
      </c>
      <c r="G59" s="157">
        <v>0.58333333333333337</v>
      </c>
      <c r="H59" s="122">
        <f t="shared" si="1"/>
        <v>8.333333333333337E-2</v>
      </c>
      <c r="I59" s="123"/>
      <c r="J59" s="123"/>
      <c r="K59" s="123"/>
      <c r="L59" s="123"/>
      <c r="M59" s="123"/>
    </row>
    <row r="60" spans="1:15" s="91" customFormat="1" ht="15" hidden="1" customHeight="1" x14ac:dyDescent="0.25">
      <c r="A60" s="86">
        <v>4</v>
      </c>
      <c r="B60" s="87" t="s">
        <v>32</v>
      </c>
      <c r="C60" s="50" t="s">
        <v>8</v>
      </c>
      <c r="D60" s="51" t="s">
        <v>102</v>
      </c>
      <c r="E60" s="42" t="s">
        <v>14</v>
      </c>
      <c r="F60" s="45">
        <v>0.58333333333333337</v>
      </c>
      <c r="G60" s="45">
        <v>0.70833333333333337</v>
      </c>
      <c r="H60" s="89">
        <f t="shared" si="1"/>
        <v>0.125</v>
      </c>
      <c r="I60" s="90"/>
      <c r="J60" s="90"/>
      <c r="K60" s="90"/>
      <c r="L60" s="90"/>
      <c r="M60" s="90"/>
    </row>
    <row r="61" spans="1:15" s="91" customFormat="1" hidden="1" x14ac:dyDescent="0.25">
      <c r="A61" s="86">
        <v>4</v>
      </c>
      <c r="B61" s="87" t="s">
        <v>32</v>
      </c>
      <c r="C61" s="50" t="s">
        <v>8</v>
      </c>
      <c r="D61" s="51" t="s">
        <v>103</v>
      </c>
      <c r="E61" s="42" t="s">
        <v>14</v>
      </c>
      <c r="F61" s="45">
        <v>0.70833333333333337</v>
      </c>
      <c r="G61" s="152">
        <v>0.79166666666666663</v>
      </c>
      <c r="H61" s="89">
        <f t="shared" si="1"/>
        <v>8.3333333333333259E-2</v>
      </c>
      <c r="I61" s="90"/>
      <c r="J61" s="90"/>
      <c r="K61" s="90"/>
      <c r="L61" s="90"/>
      <c r="M61" s="90"/>
    </row>
    <row r="62" spans="1:15" s="91" customFormat="1" hidden="1" x14ac:dyDescent="0.25">
      <c r="A62" s="86">
        <v>4</v>
      </c>
      <c r="B62" s="87" t="s">
        <v>33</v>
      </c>
      <c r="C62" s="50" t="s">
        <v>8</v>
      </c>
      <c r="D62" s="51" t="s">
        <v>102</v>
      </c>
      <c r="E62" s="42" t="s">
        <v>17</v>
      </c>
      <c r="F62" s="153">
        <v>0.33333333333333331</v>
      </c>
      <c r="G62" s="153">
        <v>0.45833333333333331</v>
      </c>
      <c r="H62" s="89">
        <f t="shared" si="1"/>
        <v>0.125</v>
      </c>
      <c r="I62" s="90"/>
      <c r="J62" s="123"/>
      <c r="K62" s="123"/>
      <c r="L62" s="123"/>
      <c r="M62" s="123"/>
      <c r="N62" s="124"/>
      <c r="O62" s="124"/>
    </row>
    <row r="63" spans="1:15" s="91" customFormat="1" hidden="1" x14ac:dyDescent="0.25">
      <c r="A63" s="86">
        <v>4</v>
      </c>
      <c r="B63" s="87" t="s">
        <v>33</v>
      </c>
      <c r="C63" s="50" t="s">
        <v>8</v>
      </c>
      <c r="D63" s="51" t="s">
        <v>103</v>
      </c>
      <c r="E63" s="42" t="s">
        <v>17</v>
      </c>
      <c r="F63" s="153">
        <v>0.45833333333333331</v>
      </c>
      <c r="G63" s="153">
        <v>0.54166666666666663</v>
      </c>
      <c r="H63" s="89">
        <f t="shared" si="1"/>
        <v>8.3333333333333315E-2</v>
      </c>
      <c r="I63" s="90"/>
      <c r="J63" s="123"/>
      <c r="K63" s="123"/>
      <c r="L63" s="123"/>
      <c r="M63" s="123"/>
      <c r="N63" s="124"/>
      <c r="O63" s="124"/>
    </row>
    <row r="64" spans="1:15" s="91" customFormat="1" hidden="1" x14ac:dyDescent="0.25">
      <c r="A64" s="86">
        <v>4</v>
      </c>
      <c r="B64" s="87" t="s">
        <v>34</v>
      </c>
      <c r="C64" s="50" t="s">
        <v>8</v>
      </c>
      <c r="D64" s="51" t="s">
        <v>102</v>
      </c>
      <c r="E64" s="42" t="s">
        <v>13</v>
      </c>
      <c r="F64" s="45">
        <v>0.33333333333333331</v>
      </c>
      <c r="G64" s="45">
        <v>0.41666666666666669</v>
      </c>
      <c r="H64" s="89">
        <f t="shared" si="1"/>
        <v>8.333333333333337E-2</v>
      </c>
      <c r="I64" s="90"/>
      <c r="J64" s="90"/>
      <c r="K64" s="90"/>
      <c r="L64" s="90"/>
      <c r="M64" s="90"/>
    </row>
    <row r="65" spans="1:15" s="91" customFormat="1" hidden="1" x14ac:dyDescent="0.25">
      <c r="A65" s="86">
        <v>4</v>
      </c>
      <c r="B65" s="87" t="s">
        <v>34</v>
      </c>
      <c r="C65" s="50" t="s">
        <v>8</v>
      </c>
      <c r="D65" s="51" t="s">
        <v>103</v>
      </c>
      <c r="E65" s="42" t="s">
        <v>13</v>
      </c>
      <c r="F65" s="45">
        <v>0.41666666666666669</v>
      </c>
      <c r="G65" s="45">
        <v>0.5</v>
      </c>
      <c r="H65" s="89">
        <f t="shared" si="1"/>
        <v>8.3333333333333315E-2</v>
      </c>
      <c r="I65" s="90"/>
      <c r="J65" s="90"/>
      <c r="K65" s="90"/>
      <c r="L65" s="90"/>
      <c r="M65" s="90"/>
    </row>
    <row r="66" spans="1:15" s="91" customFormat="1" hidden="1" x14ac:dyDescent="0.25">
      <c r="A66" s="86">
        <v>4</v>
      </c>
      <c r="B66" s="87" t="s">
        <v>31</v>
      </c>
      <c r="C66" s="50" t="s">
        <v>8</v>
      </c>
      <c r="D66" s="51" t="s">
        <v>102</v>
      </c>
      <c r="E66" s="42" t="s">
        <v>16</v>
      </c>
      <c r="F66" s="45">
        <v>0.58333333333333337</v>
      </c>
      <c r="G66" s="45">
        <v>0.66666666666666663</v>
      </c>
      <c r="H66" s="89">
        <f t="shared" si="1"/>
        <v>8.3333333333333259E-2</v>
      </c>
      <c r="I66" s="90"/>
      <c r="J66" s="123"/>
      <c r="K66" s="123"/>
      <c r="L66" s="123"/>
      <c r="M66" s="123"/>
      <c r="N66" s="124"/>
      <c r="O66" s="124"/>
    </row>
    <row r="67" spans="1:15" s="91" customFormat="1" hidden="1" x14ac:dyDescent="0.25">
      <c r="A67" s="86">
        <v>4</v>
      </c>
      <c r="B67" s="87" t="s">
        <v>31</v>
      </c>
      <c r="C67" s="50" t="s">
        <v>8</v>
      </c>
      <c r="D67" s="51" t="s">
        <v>104</v>
      </c>
      <c r="E67" s="42" t="s">
        <v>16</v>
      </c>
      <c r="F67" s="45">
        <v>0.66666666666666663</v>
      </c>
      <c r="G67" s="45">
        <v>0.75</v>
      </c>
      <c r="H67" s="89">
        <f t="shared" si="1"/>
        <v>8.333333333333337E-2</v>
      </c>
      <c r="I67" s="90"/>
      <c r="J67" s="123"/>
      <c r="K67" s="123"/>
      <c r="L67" s="123"/>
      <c r="M67" s="123"/>
      <c r="N67" s="124"/>
      <c r="O67" s="124"/>
    </row>
    <row r="68" spans="1:15" s="91" customFormat="1" hidden="1" x14ac:dyDescent="0.25">
      <c r="A68" s="86">
        <v>4</v>
      </c>
      <c r="B68" s="87" t="s">
        <v>29</v>
      </c>
      <c r="C68" s="50" t="s">
        <v>8</v>
      </c>
      <c r="D68" s="50" t="s">
        <v>102</v>
      </c>
      <c r="E68" s="42" t="s">
        <v>13</v>
      </c>
      <c r="F68" s="45">
        <v>0.58333333333333337</v>
      </c>
      <c r="G68" s="45">
        <v>0.66666666666666663</v>
      </c>
      <c r="H68" s="89">
        <f t="shared" si="1"/>
        <v>8.3333333333333259E-2</v>
      </c>
      <c r="I68" s="90"/>
      <c r="J68" s="90"/>
      <c r="K68" s="90"/>
      <c r="L68" s="90"/>
      <c r="M68" s="90"/>
    </row>
    <row r="69" spans="1:15" s="91" customFormat="1" hidden="1" x14ac:dyDescent="0.25">
      <c r="A69" s="86">
        <v>4</v>
      </c>
      <c r="B69" s="87" t="s">
        <v>29</v>
      </c>
      <c r="C69" s="50" t="s">
        <v>8</v>
      </c>
      <c r="D69" s="50" t="s">
        <v>103</v>
      </c>
      <c r="E69" s="42" t="s">
        <v>17</v>
      </c>
      <c r="F69" s="45">
        <v>0.58333333333333337</v>
      </c>
      <c r="G69" s="45">
        <v>0.66666666666666663</v>
      </c>
      <c r="H69" s="89">
        <f t="shared" ref="H69:H100" si="2">G69-F69</f>
        <v>8.3333333333333259E-2</v>
      </c>
      <c r="I69" s="90"/>
      <c r="J69" s="123"/>
      <c r="K69" s="123"/>
      <c r="L69" s="123"/>
      <c r="M69" s="123"/>
      <c r="N69" s="124"/>
      <c r="O69" s="124"/>
    </row>
    <row r="70" spans="1:15" s="91" customFormat="1" hidden="1" x14ac:dyDescent="0.25">
      <c r="A70" s="86">
        <v>4</v>
      </c>
      <c r="B70" s="87" t="s">
        <v>29</v>
      </c>
      <c r="C70" s="50" t="s">
        <v>8</v>
      </c>
      <c r="D70" s="86" t="s">
        <v>104</v>
      </c>
      <c r="E70" s="42" t="s">
        <v>17</v>
      </c>
      <c r="F70" s="45">
        <v>0.66666666666666663</v>
      </c>
      <c r="G70" s="45">
        <v>0.75</v>
      </c>
      <c r="H70" s="89">
        <f t="shared" si="2"/>
        <v>8.333333333333337E-2</v>
      </c>
      <c r="I70" s="90"/>
      <c r="J70" s="123"/>
      <c r="K70" s="123"/>
      <c r="L70" s="123"/>
      <c r="M70" s="123"/>
      <c r="N70" s="124"/>
      <c r="O70" s="124"/>
    </row>
    <row r="71" spans="1:15" s="91" customFormat="1" hidden="1" x14ac:dyDescent="0.25">
      <c r="A71" s="86">
        <v>4</v>
      </c>
      <c r="B71" s="87" t="s">
        <v>30</v>
      </c>
      <c r="C71" s="50" t="s">
        <v>8</v>
      </c>
      <c r="D71" s="50" t="s">
        <v>102</v>
      </c>
      <c r="E71" s="42" t="s">
        <v>15</v>
      </c>
      <c r="F71" s="45">
        <v>0.33333333333333331</v>
      </c>
      <c r="G71" s="45">
        <v>0.41666666666666669</v>
      </c>
      <c r="H71" s="89">
        <f t="shared" si="2"/>
        <v>8.333333333333337E-2</v>
      </c>
      <c r="I71" s="90"/>
      <c r="J71" s="90"/>
      <c r="K71" s="90"/>
      <c r="L71" s="90"/>
      <c r="M71" s="90"/>
    </row>
    <row r="72" spans="1:15" s="91" customFormat="1" hidden="1" x14ac:dyDescent="0.25">
      <c r="A72" s="86">
        <v>4</v>
      </c>
      <c r="B72" s="87" t="s">
        <v>30</v>
      </c>
      <c r="C72" s="50" t="s">
        <v>8</v>
      </c>
      <c r="D72" s="50" t="s">
        <v>103</v>
      </c>
      <c r="E72" s="88" t="s">
        <v>15</v>
      </c>
      <c r="F72" s="45">
        <v>0.41666666666666669</v>
      </c>
      <c r="G72" s="45">
        <v>0.5</v>
      </c>
      <c r="H72" s="89">
        <f t="shared" si="2"/>
        <v>8.3333333333333315E-2</v>
      </c>
      <c r="I72" s="90"/>
      <c r="J72" s="90"/>
      <c r="K72" s="90"/>
      <c r="L72" s="90"/>
      <c r="M72" s="90"/>
    </row>
    <row r="73" spans="1:15" s="91" customFormat="1" hidden="1" x14ac:dyDescent="0.25">
      <c r="A73" s="86">
        <v>4</v>
      </c>
      <c r="B73" s="87" t="s">
        <v>30</v>
      </c>
      <c r="C73" s="50" t="s">
        <v>8</v>
      </c>
      <c r="D73" s="86" t="s">
        <v>104</v>
      </c>
      <c r="E73" s="88" t="s">
        <v>15</v>
      </c>
      <c r="F73" s="45">
        <v>0.5</v>
      </c>
      <c r="G73" s="45">
        <v>0.58333333333333337</v>
      </c>
      <c r="H73" s="89">
        <f t="shared" si="2"/>
        <v>8.333333333333337E-2</v>
      </c>
      <c r="I73" s="90"/>
      <c r="J73" s="90"/>
      <c r="K73" s="90"/>
      <c r="L73" s="90"/>
      <c r="M73" s="90"/>
    </row>
    <row r="74" spans="1:15" s="91" customFormat="1" x14ac:dyDescent="0.25">
      <c r="A74" s="125">
        <v>5</v>
      </c>
      <c r="B74" s="126" t="s">
        <v>107</v>
      </c>
      <c r="C74" s="127" t="s">
        <v>4</v>
      </c>
      <c r="D74" s="128" t="s">
        <v>102</v>
      </c>
      <c r="E74" s="129" t="s">
        <v>17</v>
      </c>
      <c r="F74" s="130">
        <v>0.33333333333333331</v>
      </c>
      <c r="G74" s="130">
        <v>0.45833333333333331</v>
      </c>
      <c r="H74" s="131">
        <f t="shared" si="2"/>
        <v>0.125</v>
      </c>
      <c r="I74" s="132"/>
      <c r="J74" s="132"/>
      <c r="K74" s="132"/>
      <c r="L74" s="132"/>
      <c r="M74" s="132"/>
    </row>
    <row r="75" spans="1:15" s="137" customFormat="1" x14ac:dyDescent="0.25">
      <c r="A75" s="86">
        <v>5</v>
      </c>
      <c r="B75" s="87" t="s">
        <v>107</v>
      </c>
      <c r="C75" s="50" t="s">
        <v>4</v>
      </c>
      <c r="D75" s="51" t="s">
        <v>104</v>
      </c>
      <c r="E75" s="42" t="s">
        <v>17</v>
      </c>
      <c r="F75" s="45">
        <v>0.45833333333333331</v>
      </c>
      <c r="G75" s="45">
        <v>0.54166666666666663</v>
      </c>
      <c r="H75" s="89">
        <f t="shared" si="2"/>
        <v>8.3333333333333315E-2</v>
      </c>
      <c r="I75" s="90"/>
      <c r="J75" s="90"/>
      <c r="K75" s="90"/>
      <c r="L75" s="90"/>
      <c r="M75" s="90"/>
      <c r="N75" s="91"/>
      <c r="O75" s="91"/>
    </row>
    <row r="76" spans="1:15" s="137" customFormat="1" x14ac:dyDescent="0.25">
      <c r="A76" s="86">
        <v>5</v>
      </c>
      <c r="B76" s="87" t="s">
        <v>108</v>
      </c>
      <c r="C76" s="50" t="s">
        <v>4</v>
      </c>
      <c r="D76" s="51" t="s">
        <v>102</v>
      </c>
      <c r="E76" s="42" t="s">
        <v>16</v>
      </c>
      <c r="F76" s="45">
        <v>0.33333333333333331</v>
      </c>
      <c r="G76" s="45">
        <v>0.45833333333333331</v>
      </c>
      <c r="H76" s="89">
        <f t="shared" si="2"/>
        <v>0.125</v>
      </c>
      <c r="I76" s="90"/>
      <c r="J76" s="90"/>
      <c r="K76" s="90"/>
      <c r="L76" s="90"/>
      <c r="M76" s="90"/>
      <c r="N76" s="91"/>
      <c r="O76" s="91"/>
    </row>
    <row r="77" spans="1:15" s="137" customFormat="1" x14ac:dyDescent="0.25">
      <c r="A77" s="86">
        <v>5</v>
      </c>
      <c r="B77" s="87" t="s">
        <v>108</v>
      </c>
      <c r="C77" s="50" t="s">
        <v>4</v>
      </c>
      <c r="D77" s="51" t="s">
        <v>104</v>
      </c>
      <c r="E77" s="42" t="s">
        <v>16</v>
      </c>
      <c r="F77" s="45">
        <v>0.45833333333333331</v>
      </c>
      <c r="G77" s="45">
        <v>0.54166666666666663</v>
      </c>
      <c r="H77" s="89">
        <f t="shared" si="2"/>
        <v>8.3333333333333315E-2</v>
      </c>
      <c r="I77" s="90"/>
      <c r="J77" s="90"/>
      <c r="K77" s="90"/>
      <c r="L77" s="90"/>
      <c r="M77" s="90"/>
      <c r="N77" s="91"/>
      <c r="O77" s="91"/>
    </row>
    <row r="78" spans="1:15" s="137" customFormat="1" x14ac:dyDescent="0.25">
      <c r="A78" s="86">
        <v>5</v>
      </c>
      <c r="B78" s="87" t="s">
        <v>110</v>
      </c>
      <c r="C78" s="50" t="s">
        <v>4</v>
      </c>
      <c r="D78" s="51" t="s">
        <v>102</v>
      </c>
      <c r="E78" s="42" t="s">
        <v>16</v>
      </c>
      <c r="F78" s="45">
        <v>0.58333333333333337</v>
      </c>
      <c r="G78" s="45">
        <v>0.70833333333333337</v>
      </c>
      <c r="H78" s="89">
        <f t="shared" si="2"/>
        <v>0.125</v>
      </c>
      <c r="I78" s="90"/>
      <c r="J78" s="90"/>
      <c r="K78" s="90"/>
      <c r="L78" s="90"/>
      <c r="M78" s="90"/>
      <c r="N78" s="91"/>
      <c r="O78" s="91"/>
    </row>
    <row r="79" spans="1:15" s="137" customFormat="1" x14ac:dyDescent="0.25">
      <c r="A79" s="86">
        <v>5</v>
      </c>
      <c r="B79" s="87" t="s">
        <v>110</v>
      </c>
      <c r="C79" s="50" t="s">
        <v>4</v>
      </c>
      <c r="D79" s="51" t="s">
        <v>103</v>
      </c>
      <c r="E79" s="88" t="s">
        <v>16</v>
      </c>
      <c r="F79" s="45">
        <v>0.70833333333333337</v>
      </c>
      <c r="G79" s="45">
        <v>0.79166666666666663</v>
      </c>
      <c r="H79" s="89">
        <f t="shared" si="2"/>
        <v>8.3333333333333259E-2</v>
      </c>
      <c r="I79" s="90"/>
      <c r="J79" s="90"/>
      <c r="K79" s="90"/>
      <c r="L79" s="90"/>
      <c r="M79" s="90"/>
      <c r="N79" s="91"/>
      <c r="O79" s="91"/>
    </row>
    <row r="80" spans="1:15" s="137" customFormat="1" x14ac:dyDescent="0.25">
      <c r="A80" s="86">
        <v>5</v>
      </c>
      <c r="B80" s="87" t="s">
        <v>109</v>
      </c>
      <c r="C80" s="50" t="s">
        <v>4</v>
      </c>
      <c r="D80" s="51" t="s">
        <v>102</v>
      </c>
      <c r="E80" s="88" t="s">
        <v>15</v>
      </c>
      <c r="F80" s="45">
        <v>0.33333333333333331</v>
      </c>
      <c r="G80" s="45">
        <v>0.41666666666666669</v>
      </c>
      <c r="H80" s="131">
        <f t="shared" si="2"/>
        <v>8.333333333333337E-2</v>
      </c>
      <c r="I80" s="90"/>
      <c r="J80" s="90"/>
      <c r="K80" s="90"/>
      <c r="L80" s="90"/>
      <c r="M80" s="90"/>
      <c r="N80" s="91"/>
      <c r="O80" s="91"/>
    </row>
    <row r="81" spans="1:15" s="137" customFormat="1" x14ac:dyDescent="0.25">
      <c r="A81" s="86">
        <v>5</v>
      </c>
      <c r="B81" s="87" t="s">
        <v>109</v>
      </c>
      <c r="C81" s="50" t="s">
        <v>4</v>
      </c>
      <c r="D81" s="51" t="s">
        <v>103</v>
      </c>
      <c r="E81" s="129" t="s">
        <v>15</v>
      </c>
      <c r="F81" s="130">
        <v>0.41666666666666669</v>
      </c>
      <c r="G81" s="130">
        <v>0.5</v>
      </c>
      <c r="H81" s="89">
        <f t="shared" si="2"/>
        <v>8.3333333333333315E-2</v>
      </c>
      <c r="I81" s="90"/>
      <c r="J81" s="90"/>
      <c r="K81" s="90"/>
      <c r="L81" s="90"/>
      <c r="M81" s="90"/>
      <c r="N81" s="91"/>
      <c r="O81" s="91"/>
    </row>
    <row r="82" spans="1:15" s="137" customFormat="1" x14ac:dyDescent="0.25">
      <c r="A82" s="86">
        <v>5</v>
      </c>
      <c r="B82" s="87" t="s">
        <v>109</v>
      </c>
      <c r="C82" s="50" t="s">
        <v>4</v>
      </c>
      <c r="D82" s="51" t="s">
        <v>104</v>
      </c>
      <c r="E82" s="42" t="s">
        <v>15</v>
      </c>
      <c r="F82" s="45">
        <v>0.5</v>
      </c>
      <c r="G82" s="45">
        <v>0.58333333333333337</v>
      </c>
      <c r="H82" s="89">
        <f t="shared" si="2"/>
        <v>8.333333333333337E-2</v>
      </c>
      <c r="I82" s="90"/>
      <c r="J82" s="90"/>
      <c r="K82" s="90"/>
      <c r="L82" s="90"/>
      <c r="M82" s="90"/>
      <c r="N82" s="91"/>
      <c r="O82" s="91"/>
    </row>
    <row r="83" spans="1:15" s="137" customFormat="1" x14ac:dyDescent="0.25">
      <c r="A83" s="86">
        <v>5</v>
      </c>
      <c r="B83" s="87" t="s">
        <v>112</v>
      </c>
      <c r="C83" s="50" t="s">
        <v>4</v>
      </c>
      <c r="D83" s="51" t="s">
        <v>102</v>
      </c>
      <c r="E83" s="92" t="s">
        <v>14</v>
      </c>
      <c r="F83" s="45">
        <v>0.33333333333333331</v>
      </c>
      <c r="G83" s="45">
        <v>0.41666666666666669</v>
      </c>
      <c r="H83" s="89">
        <f t="shared" si="2"/>
        <v>8.333333333333337E-2</v>
      </c>
      <c r="I83" s="90"/>
      <c r="J83" s="90"/>
      <c r="K83" s="90"/>
      <c r="L83" s="90"/>
      <c r="M83" s="90"/>
      <c r="N83" s="91"/>
      <c r="O83" s="91"/>
    </row>
    <row r="84" spans="1:15" s="137" customFormat="1" x14ac:dyDescent="0.25">
      <c r="A84" s="86">
        <v>5</v>
      </c>
      <c r="B84" s="87" t="s">
        <v>112</v>
      </c>
      <c r="C84" s="50" t="s">
        <v>4</v>
      </c>
      <c r="D84" s="51" t="s">
        <v>103</v>
      </c>
      <c r="E84" s="92" t="s">
        <v>14</v>
      </c>
      <c r="F84" s="45">
        <v>0.41666666666666669</v>
      </c>
      <c r="G84" s="45">
        <v>0.5</v>
      </c>
      <c r="H84" s="89">
        <f t="shared" si="2"/>
        <v>8.3333333333333315E-2</v>
      </c>
      <c r="I84" s="90"/>
      <c r="J84" s="90"/>
      <c r="K84" s="90"/>
      <c r="L84" s="90"/>
      <c r="M84" s="90"/>
      <c r="N84" s="91"/>
      <c r="O84" s="91"/>
    </row>
    <row r="85" spans="1:15" s="137" customFormat="1" x14ac:dyDescent="0.25">
      <c r="A85" s="86">
        <v>5</v>
      </c>
      <c r="B85" s="87" t="s">
        <v>112</v>
      </c>
      <c r="C85" s="50" t="s">
        <v>4</v>
      </c>
      <c r="D85" s="86" t="s">
        <v>104</v>
      </c>
      <c r="E85" s="92" t="s">
        <v>14</v>
      </c>
      <c r="F85" s="45">
        <v>0.5</v>
      </c>
      <c r="G85" s="45">
        <v>0.58333333333333337</v>
      </c>
      <c r="H85" s="89">
        <f t="shared" si="2"/>
        <v>8.333333333333337E-2</v>
      </c>
      <c r="I85" s="90"/>
      <c r="J85" s="90"/>
      <c r="K85" s="90"/>
      <c r="L85" s="90"/>
      <c r="M85" s="90"/>
      <c r="N85" s="91"/>
      <c r="O85" s="91"/>
    </row>
    <row r="86" spans="1:15" s="137" customFormat="1" x14ac:dyDescent="0.25">
      <c r="A86" s="165">
        <v>5</v>
      </c>
      <c r="B86" s="166" t="s">
        <v>111</v>
      </c>
      <c r="C86" s="50" t="s">
        <v>4</v>
      </c>
      <c r="D86" s="51" t="s">
        <v>102</v>
      </c>
      <c r="E86" s="42" t="s">
        <v>13</v>
      </c>
      <c r="F86" s="45">
        <v>0.33333333333333331</v>
      </c>
      <c r="G86" s="45">
        <v>0.41666666666666669</v>
      </c>
      <c r="H86" s="89">
        <f t="shared" si="2"/>
        <v>8.333333333333337E-2</v>
      </c>
      <c r="I86" s="90"/>
      <c r="J86" s="90"/>
      <c r="K86" s="90"/>
      <c r="L86" s="90"/>
      <c r="M86" s="90"/>
      <c r="N86" s="91"/>
      <c r="O86" s="91"/>
    </row>
    <row r="87" spans="1:15" s="137" customFormat="1" x14ac:dyDescent="0.25">
      <c r="A87" s="165">
        <v>5</v>
      </c>
      <c r="B87" s="166" t="s">
        <v>111</v>
      </c>
      <c r="C87" s="50" t="s">
        <v>4</v>
      </c>
      <c r="D87" s="51" t="s">
        <v>103</v>
      </c>
      <c r="E87" s="42" t="s">
        <v>13</v>
      </c>
      <c r="F87" s="45">
        <v>0.41666666666666669</v>
      </c>
      <c r="G87" s="45">
        <v>0.5</v>
      </c>
      <c r="H87" s="89">
        <f t="shared" si="2"/>
        <v>8.3333333333333315E-2</v>
      </c>
      <c r="I87" s="90"/>
      <c r="J87" s="90"/>
      <c r="K87" s="90"/>
      <c r="L87" s="90"/>
      <c r="M87" s="90"/>
      <c r="N87" s="91"/>
      <c r="O87" s="91"/>
    </row>
    <row r="88" spans="1:15" s="62" customFormat="1" x14ac:dyDescent="0.25">
      <c r="A88" s="86">
        <v>5</v>
      </c>
      <c r="B88" s="87" t="s">
        <v>111</v>
      </c>
      <c r="C88" s="50" t="s">
        <v>4</v>
      </c>
      <c r="D88" s="51" t="s">
        <v>104</v>
      </c>
      <c r="E88" s="42" t="s">
        <v>13</v>
      </c>
      <c r="F88" s="45">
        <v>0.5</v>
      </c>
      <c r="G88" s="45">
        <v>0.58333333333333337</v>
      </c>
      <c r="H88" s="89">
        <f t="shared" si="2"/>
        <v>8.333333333333337E-2</v>
      </c>
      <c r="I88" s="90"/>
      <c r="J88" s="90"/>
      <c r="K88" s="90"/>
      <c r="L88" s="90"/>
      <c r="M88" s="90"/>
      <c r="N88" s="91"/>
      <c r="O88" s="91"/>
    </row>
    <row r="89" spans="1:15" s="62" customFormat="1" x14ac:dyDescent="0.25">
      <c r="A89" s="133">
        <v>6</v>
      </c>
      <c r="B89" s="134" t="s">
        <v>118</v>
      </c>
      <c r="C89" s="135" t="s">
        <v>4</v>
      </c>
      <c r="D89" s="135" t="s">
        <v>102</v>
      </c>
      <c r="E89" s="120" t="s">
        <v>13</v>
      </c>
      <c r="F89" s="121">
        <v>0.33333333333333331</v>
      </c>
      <c r="G89" s="121">
        <v>0.41666666666666669</v>
      </c>
      <c r="H89" s="122">
        <f t="shared" si="2"/>
        <v>8.333333333333337E-2</v>
      </c>
      <c r="I89" s="136"/>
      <c r="J89" s="136"/>
      <c r="K89" s="136"/>
      <c r="L89" s="136"/>
      <c r="M89" s="136"/>
      <c r="N89" s="137"/>
      <c r="O89" s="137"/>
    </row>
    <row r="90" spans="1:15" s="62" customFormat="1" x14ac:dyDescent="0.25">
      <c r="A90" s="133">
        <v>6</v>
      </c>
      <c r="B90" s="134" t="s">
        <v>118</v>
      </c>
      <c r="C90" s="135" t="s">
        <v>4</v>
      </c>
      <c r="D90" s="135" t="s">
        <v>103</v>
      </c>
      <c r="E90" s="120" t="s">
        <v>13</v>
      </c>
      <c r="F90" s="121">
        <v>0.41666666666666669</v>
      </c>
      <c r="G90" s="121">
        <v>0.5</v>
      </c>
      <c r="H90" s="122">
        <f t="shared" si="2"/>
        <v>8.3333333333333315E-2</v>
      </c>
      <c r="I90" s="136"/>
      <c r="J90" s="136"/>
      <c r="K90" s="136"/>
      <c r="L90" s="136"/>
      <c r="M90" s="136"/>
      <c r="N90" s="137"/>
      <c r="O90" s="137"/>
    </row>
    <row r="91" spans="1:15" s="62" customFormat="1" x14ac:dyDescent="0.25">
      <c r="A91" s="133">
        <v>6</v>
      </c>
      <c r="B91" s="134" t="s">
        <v>118</v>
      </c>
      <c r="C91" s="135" t="s">
        <v>4</v>
      </c>
      <c r="D91" s="135" t="s">
        <v>104</v>
      </c>
      <c r="E91" s="120" t="s">
        <v>13</v>
      </c>
      <c r="F91" s="121">
        <v>0.5</v>
      </c>
      <c r="G91" s="121">
        <v>0.58333333333333337</v>
      </c>
      <c r="H91" s="122">
        <f t="shared" si="2"/>
        <v>8.333333333333337E-2</v>
      </c>
      <c r="I91" s="136"/>
      <c r="J91" s="136"/>
      <c r="K91" s="136"/>
      <c r="L91" s="136"/>
      <c r="M91" s="136"/>
      <c r="N91" s="137"/>
      <c r="O91" s="137"/>
    </row>
    <row r="92" spans="1:15" s="62" customFormat="1" x14ac:dyDescent="0.25">
      <c r="A92" s="133">
        <v>6</v>
      </c>
      <c r="B92" s="134" t="s">
        <v>119</v>
      </c>
      <c r="C92" s="135" t="s">
        <v>4</v>
      </c>
      <c r="D92" s="135" t="s">
        <v>102</v>
      </c>
      <c r="E92" s="150" t="s">
        <v>14</v>
      </c>
      <c r="F92" s="121">
        <v>0.33333333333333331</v>
      </c>
      <c r="G92" s="121">
        <v>0.41666666666666669</v>
      </c>
      <c r="H92" s="122">
        <f t="shared" si="2"/>
        <v>8.333333333333337E-2</v>
      </c>
      <c r="I92" s="136"/>
      <c r="J92" s="136"/>
      <c r="K92" s="136"/>
      <c r="L92" s="136"/>
      <c r="M92" s="136"/>
      <c r="N92" s="137"/>
      <c r="O92" s="137"/>
    </row>
    <row r="93" spans="1:15" s="62" customFormat="1" x14ac:dyDescent="0.25">
      <c r="A93" s="133">
        <v>6</v>
      </c>
      <c r="B93" s="134" t="s">
        <v>119</v>
      </c>
      <c r="C93" s="135" t="s">
        <v>4</v>
      </c>
      <c r="D93" s="135" t="s">
        <v>104</v>
      </c>
      <c r="E93" s="150" t="s">
        <v>14</v>
      </c>
      <c r="F93" s="121">
        <v>0.41666666666666669</v>
      </c>
      <c r="G93" s="121">
        <v>0.5</v>
      </c>
      <c r="H93" s="122">
        <f t="shared" si="2"/>
        <v>8.3333333333333315E-2</v>
      </c>
      <c r="I93" s="136"/>
      <c r="J93" s="136"/>
      <c r="K93" s="136"/>
      <c r="L93" s="136"/>
      <c r="M93" s="136"/>
      <c r="N93" s="137"/>
      <c r="O93" s="137"/>
    </row>
    <row r="94" spans="1:15" s="62" customFormat="1" x14ac:dyDescent="0.25">
      <c r="A94" s="133">
        <v>6</v>
      </c>
      <c r="B94" s="134" t="s">
        <v>56</v>
      </c>
      <c r="C94" s="135" t="s">
        <v>4</v>
      </c>
      <c r="D94" s="135" t="s">
        <v>102</v>
      </c>
      <c r="E94" s="136" t="s">
        <v>15</v>
      </c>
      <c r="F94" s="121">
        <v>0.33333333333333331</v>
      </c>
      <c r="G94" s="121">
        <v>0.41666666666666669</v>
      </c>
      <c r="H94" s="122">
        <f t="shared" si="2"/>
        <v>8.333333333333337E-2</v>
      </c>
      <c r="I94" s="136"/>
      <c r="J94" s="136"/>
      <c r="K94" s="136"/>
      <c r="L94" s="136"/>
      <c r="M94" s="136"/>
      <c r="N94" s="137"/>
      <c r="O94" s="137"/>
    </row>
    <row r="95" spans="1:15" s="62" customFormat="1" x14ac:dyDescent="0.25">
      <c r="A95" s="133">
        <v>6</v>
      </c>
      <c r="B95" s="134" t="s">
        <v>56</v>
      </c>
      <c r="C95" s="135" t="s">
        <v>4</v>
      </c>
      <c r="D95" s="135" t="s">
        <v>104</v>
      </c>
      <c r="E95" s="136" t="s">
        <v>15</v>
      </c>
      <c r="F95" s="121">
        <v>0.41666666666666669</v>
      </c>
      <c r="G95" s="121">
        <v>0.5</v>
      </c>
      <c r="H95" s="122">
        <f t="shared" si="2"/>
        <v>8.3333333333333315E-2</v>
      </c>
      <c r="I95" s="136"/>
      <c r="J95" s="136"/>
      <c r="K95" s="136"/>
      <c r="L95" s="136"/>
      <c r="M95" s="136"/>
      <c r="N95" s="137"/>
      <c r="O95" s="137"/>
    </row>
    <row r="96" spans="1:15" s="62" customFormat="1" x14ac:dyDescent="0.25">
      <c r="A96" s="133">
        <v>6</v>
      </c>
      <c r="B96" s="134" t="s">
        <v>120</v>
      </c>
      <c r="C96" s="135" t="s">
        <v>4</v>
      </c>
      <c r="D96" s="135" t="s">
        <v>102</v>
      </c>
      <c r="E96" s="136" t="s">
        <v>15</v>
      </c>
      <c r="F96" s="121">
        <v>0.58333333333333337</v>
      </c>
      <c r="G96" s="121">
        <v>0.66666666666666663</v>
      </c>
      <c r="H96" s="122">
        <f t="shared" si="2"/>
        <v>8.3333333333333259E-2</v>
      </c>
      <c r="I96" s="136"/>
      <c r="J96" s="136"/>
      <c r="K96" s="136"/>
      <c r="L96" s="136"/>
      <c r="M96" s="136"/>
      <c r="N96" s="137"/>
      <c r="O96" s="137"/>
    </row>
    <row r="97" spans="1:15" s="62" customFormat="1" x14ac:dyDescent="0.25">
      <c r="A97" s="133">
        <v>6</v>
      </c>
      <c r="B97" s="134" t="s">
        <v>120</v>
      </c>
      <c r="C97" s="135" t="s">
        <v>4</v>
      </c>
      <c r="D97" s="135" t="s">
        <v>103</v>
      </c>
      <c r="E97" s="136" t="s">
        <v>15</v>
      </c>
      <c r="F97" s="121">
        <v>0.66666666666666663</v>
      </c>
      <c r="G97" s="121">
        <v>0.75</v>
      </c>
      <c r="H97" s="122">
        <f t="shared" si="2"/>
        <v>8.333333333333337E-2</v>
      </c>
      <c r="I97" s="136"/>
      <c r="J97" s="136"/>
      <c r="K97" s="136"/>
      <c r="L97" s="136"/>
      <c r="M97" s="136"/>
      <c r="N97" s="137"/>
      <c r="O97" s="137"/>
    </row>
    <row r="98" spans="1:15" s="62" customFormat="1" x14ac:dyDescent="0.25">
      <c r="A98" s="133">
        <v>6</v>
      </c>
      <c r="B98" s="134" t="s">
        <v>117</v>
      </c>
      <c r="C98" s="135" t="s">
        <v>4</v>
      </c>
      <c r="D98" s="135" t="s">
        <v>102</v>
      </c>
      <c r="E98" s="120" t="s">
        <v>16</v>
      </c>
      <c r="F98" s="121">
        <v>0.33333333333333331</v>
      </c>
      <c r="G98" s="121">
        <v>0.45833333333333331</v>
      </c>
      <c r="H98" s="122">
        <f t="shared" si="2"/>
        <v>0.125</v>
      </c>
      <c r="I98" s="136"/>
      <c r="J98" s="136"/>
      <c r="K98" s="136"/>
      <c r="L98" s="136"/>
      <c r="M98" s="136"/>
      <c r="N98" s="137"/>
      <c r="O98" s="137"/>
    </row>
    <row r="99" spans="1:15" s="62" customFormat="1" x14ac:dyDescent="0.25">
      <c r="A99" s="138">
        <v>6</v>
      </c>
      <c r="B99" s="139" t="s">
        <v>117</v>
      </c>
      <c r="C99" s="135" t="s">
        <v>4</v>
      </c>
      <c r="D99" s="135" t="s">
        <v>104</v>
      </c>
      <c r="E99" s="120" t="s">
        <v>16</v>
      </c>
      <c r="F99" s="121">
        <v>0.45833333333333331</v>
      </c>
      <c r="G99" s="121">
        <v>0.54166666666666663</v>
      </c>
      <c r="H99" s="122">
        <f t="shared" si="2"/>
        <v>8.3333333333333315E-2</v>
      </c>
      <c r="I99" s="136"/>
      <c r="J99" s="136"/>
      <c r="K99" s="136"/>
      <c r="L99" s="136"/>
      <c r="M99" s="136"/>
      <c r="N99" s="137"/>
      <c r="O99" s="137"/>
    </row>
    <row r="100" spans="1:15" s="62" customFormat="1" x14ac:dyDescent="0.25">
      <c r="A100" s="138">
        <v>6</v>
      </c>
      <c r="B100" s="139" t="s">
        <v>116</v>
      </c>
      <c r="C100" s="135" t="s">
        <v>4</v>
      </c>
      <c r="D100" s="135" t="s">
        <v>102</v>
      </c>
      <c r="E100" s="120" t="s">
        <v>17</v>
      </c>
      <c r="F100" s="121">
        <v>0.33333333333333331</v>
      </c>
      <c r="G100" s="121">
        <v>0.45833333333333331</v>
      </c>
      <c r="H100" s="122">
        <f t="shared" si="2"/>
        <v>0.125</v>
      </c>
      <c r="I100" s="136"/>
      <c r="J100" s="136"/>
      <c r="K100" s="136"/>
      <c r="L100" s="136"/>
      <c r="M100" s="136"/>
      <c r="N100" s="137"/>
      <c r="O100" s="137"/>
    </row>
    <row r="101" spans="1:15" s="52" customFormat="1" x14ac:dyDescent="0.25">
      <c r="A101" s="133">
        <v>6</v>
      </c>
      <c r="B101" s="134" t="s">
        <v>116</v>
      </c>
      <c r="C101" s="135" t="s">
        <v>4</v>
      </c>
      <c r="D101" s="135" t="s">
        <v>104</v>
      </c>
      <c r="E101" s="120" t="s">
        <v>17</v>
      </c>
      <c r="F101" s="121">
        <v>0.45833333333333331</v>
      </c>
      <c r="G101" s="121">
        <v>0.54166666666666663</v>
      </c>
      <c r="H101" s="122">
        <f t="shared" ref="H101:H132" si="3">G101-F101</f>
        <v>8.3333333333333315E-2</v>
      </c>
      <c r="I101" s="136"/>
      <c r="J101" s="136"/>
      <c r="K101" s="136"/>
      <c r="L101" s="136"/>
      <c r="M101" s="136"/>
      <c r="N101" s="137"/>
      <c r="O101" s="137"/>
    </row>
    <row r="102" spans="1:15" s="52" customFormat="1" x14ac:dyDescent="0.25">
      <c r="A102" s="140">
        <v>6</v>
      </c>
      <c r="B102" s="141" t="s">
        <v>116</v>
      </c>
      <c r="C102" s="56" t="s">
        <v>6</v>
      </c>
      <c r="D102" s="56" t="s">
        <v>102</v>
      </c>
      <c r="E102" s="61" t="s">
        <v>13</v>
      </c>
      <c r="F102" s="61">
        <v>0.58333333333333337</v>
      </c>
      <c r="G102" s="61">
        <v>0.70833333333333337</v>
      </c>
      <c r="H102" s="112">
        <f t="shared" si="3"/>
        <v>0.125</v>
      </c>
      <c r="I102" s="57"/>
      <c r="J102" s="57"/>
      <c r="K102" s="57"/>
      <c r="L102" s="57"/>
      <c r="M102" s="57"/>
      <c r="N102" s="62"/>
      <c r="O102" s="62"/>
    </row>
    <row r="103" spans="1:15" s="52" customFormat="1" x14ac:dyDescent="0.25">
      <c r="A103" s="140">
        <v>6</v>
      </c>
      <c r="B103" s="141" t="s">
        <v>116</v>
      </c>
      <c r="C103" s="56" t="s">
        <v>6</v>
      </c>
      <c r="D103" s="56" t="s">
        <v>104</v>
      </c>
      <c r="E103" s="61" t="s">
        <v>13</v>
      </c>
      <c r="F103" s="61">
        <v>0.70833333333333337</v>
      </c>
      <c r="G103" s="61">
        <v>0.79166666666666663</v>
      </c>
      <c r="H103" s="112">
        <f t="shared" si="3"/>
        <v>8.3333333333333259E-2</v>
      </c>
      <c r="I103" s="57"/>
      <c r="J103" s="57"/>
      <c r="K103" s="57"/>
      <c r="L103" s="57"/>
      <c r="M103" s="57"/>
      <c r="N103" s="62"/>
      <c r="O103" s="62"/>
    </row>
    <row r="104" spans="1:15" s="52" customFormat="1" x14ac:dyDescent="0.25">
      <c r="A104" s="140">
        <v>6</v>
      </c>
      <c r="B104" s="141" t="s">
        <v>117</v>
      </c>
      <c r="C104" s="56" t="s">
        <v>6</v>
      </c>
      <c r="D104" s="56" t="s">
        <v>102</v>
      </c>
      <c r="E104" s="160" t="s">
        <v>14</v>
      </c>
      <c r="F104" s="61">
        <v>0.58333333333333337</v>
      </c>
      <c r="G104" s="61">
        <v>0.70833333333333337</v>
      </c>
      <c r="H104" s="112">
        <f t="shared" si="3"/>
        <v>0.125</v>
      </c>
      <c r="I104" s="57"/>
      <c r="J104" s="57"/>
      <c r="K104" s="57"/>
      <c r="L104" s="57"/>
      <c r="M104" s="57"/>
      <c r="N104" s="62"/>
      <c r="O104" s="62"/>
    </row>
    <row r="105" spans="1:15" s="52" customFormat="1" x14ac:dyDescent="0.25">
      <c r="A105" s="140">
        <v>6</v>
      </c>
      <c r="B105" s="141" t="s">
        <v>117</v>
      </c>
      <c r="C105" s="56" t="s">
        <v>6</v>
      </c>
      <c r="D105" s="56" t="s">
        <v>104</v>
      </c>
      <c r="E105" s="168" t="s">
        <v>14</v>
      </c>
      <c r="F105" s="61">
        <v>0.70833333333333337</v>
      </c>
      <c r="G105" s="61">
        <v>0.79166666666666663</v>
      </c>
      <c r="H105" s="112">
        <f t="shared" si="3"/>
        <v>8.3333333333333259E-2</v>
      </c>
      <c r="I105" s="57"/>
      <c r="J105" s="57"/>
      <c r="K105" s="57"/>
      <c r="L105" s="57"/>
      <c r="M105" s="57"/>
      <c r="N105" s="62"/>
      <c r="O105" s="62"/>
    </row>
    <row r="106" spans="1:15" s="52" customFormat="1" x14ac:dyDescent="0.25">
      <c r="A106" s="140">
        <v>6</v>
      </c>
      <c r="B106" s="141" t="s">
        <v>118</v>
      </c>
      <c r="C106" s="56" t="s">
        <v>6</v>
      </c>
      <c r="D106" s="56" t="s">
        <v>102</v>
      </c>
      <c r="E106" s="168" t="s">
        <v>15</v>
      </c>
      <c r="F106" s="161">
        <v>0.33333333333333331</v>
      </c>
      <c r="G106" s="161">
        <v>0.41666666666666669</v>
      </c>
      <c r="H106" s="169">
        <f t="shared" si="3"/>
        <v>8.333333333333337E-2</v>
      </c>
      <c r="I106" s="57"/>
      <c r="J106" s="57"/>
      <c r="K106" s="57"/>
      <c r="L106" s="57"/>
      <c r="M106" s="57"/>
      <c r="N106" s="62"/>
      <c r="O106" s="62"/>
    </row>
    <row r="107" spans="1:15" s="52" customFormat="1" x14ac:dyDescent="0.25">
      <c r="A107" s="140">
        <v>6</v>
      </c>
      <c r="B107" s="141" t="s">
        <v>118</v>
      </c>
      <c r="C107" s="56" t="s">
        <v>6</v>
      </c>
      <c r="D107" s="56" t="s">
        <v>103</v>
      </c>
      <c r="E107" s="216" t="s">
        <v>15</v>
      </c>
      <c r="F107" s="217">
        <v>0.41666666666666669</v>
      </c>
      <c r="G107" s="217">
        <v>0.5</v>
      </c>
      <c r="H107" s="112">
        <f t="shared" si="3"/>
        <v>8.3333333333333315E-2</v>
      </c>
      <c r="I107" s="57"/>
      <c r="J107" s="57"/>
      <c r="K107" s="57"/>
      <c r="L107" s="57"/>
      <c r="M107" s="57"/>
      <c r="N107" s="62"/>
      <c r="O107" s="62"/>
    </row>
    <row r="108" spans="1:15" s="52" customFormat="1" x14ac:dyDescent="0.25">
      <c r="A108" s="140">
        <v>6</v>
      </c>
      <c r="B108" s="141" t="s">
        <v>118</v>
      </c>
      <c r="C108" s="56" t="s">
        <v>6</v>
      </c>
      <c r="D108" s="56" t="s">
        <v>104</v>
      </c>
      <c r="E108" s="160" t="s">
        <v>15</v>
      </c>
      <c r="F108" s="161">
        <v>0.5</v>
      </c>
      <c r="G108" s="161">
        <v>0.58333333333333337</v>
      </c>
      <c r="H108" s="112">
        <f t="shared" si="3"/>
        <v>8.333333333333337E-2</v>
      </c>
      <c r="I108" s="57"/>
      <c r="J108" s="57"/>
      <c r="K108" s="57"/>
      <c r="L108" s="57"/>
      <c r="M108" s="57"/>
      <c r="N108" s="62"/>
      <c r="O108" s="62"/>
    </row>
    <row r="109" spans="1:15" s="52" customFormat="1" x14ac:dyDescent="0.25">
      <c r="A109" s="140">
        <v>6</v>
      </c>
      <c r="B109" s="141" t="s">
        <v>120</v>
      </c>
      <c r="C109" s="56" t="s">
        <v>6</v>
      </c>
      <c r="D109" s="56" t="s">
        <v>102</v>
      </c>
      <c r="E109" s="160" t="s">
        <v>16</v>
      </c>
      <c r="F109" s="161">
        <v>0.33333333333333331</v>
      </c>
      <c r="G109" s="161">
        <v>0.41666666666666669</v>
      </c>
      <c r="H109" s="112">
        <f t="shared" si="3"/>
        <v>8.333333333333337E-2</v>
      </c>
      <c r="I109" s="57"/>
      <c r="J109" s="57"/>
      <c r="K109" s="57"/>
      <c r="L109" s="57"/>
      <c r="M109" s="57"/>
      <c r="N109" s="62"/>
      <c r="O109" s="62"/>
    </row>
    <row r="110" spans="1:15" s="52" customFormat="1" x14ac:dyDescent="0.25">
      <c r="A110" s="140">
        <v>6</v>
      </c>
      <c r="B110" s="141" t="s">
        <v>120</v>
      </c>
      <c r="C110" s="56" t="s">
        <v>6</v>
      </c>
      <c r="D110" s="56" t="s">
        <v>103</v>
      </c>
      <c r="E110" s="160" t="s">
        <v>16</v>
      </c>
      <c r="F110" s="161">
        <v>0.33333333333333331</v>
      </c>
      <c r="G110" s="161">
        <v>0.41666666666666669</v>
      </c>
      <c r="H110" s="112">
        <f t="shared" si="3"/>
        <v>8.333333333333337E-2</v>
      </c>
      <c r="I110" s="57"/>
      <c r="J110" s="57"/>
      <c r="K110" s="57"/>
      <c r="L110" s="57"/>
      <c r="M110" s="57"/>
      <c r="N110" s="62"/>
      <c r="O110" s="62"/>
    </row>
    <row r="111" spans="1:15" s="52" customFormat="1" x14ac:dyDescent="0.25">
      <c r="A111" s="140">
        <v>6</v>
      </c>
      <c r="B111" s="141" t="s">
        <v>119</v>
      </c>
      <c r="C111" s="56" t="s">
        <v>6</v>
      </c>
      <c r="D111" s="56" t="s">
        <v>102</v>
      </c>
      <c r="E111" s="160" t="s">
        <v>16</v>
      </c>
      <c r="F111" s="161">
        <v>0.58333333333333337</v>
      </c>
      <c r="G111" s="161">
        <v>0.66666666666666663</v>
      </c>
      <c r="H111" s="112">
        <f t="shared" si="3"/>
        <v>8.3333333333333259E-2</v>
      </c>
      <c r="I111" s="57"/>
      <c r="J111" s="57"/>
      <c r="K111" s="57"/>
      <c r="L111" s="57"/>
      <c r="M111" s="57"/>
      <c r="N111" s="62"/>
      <c r="O111" s="62"/>
    </row>
    <row r="112" spans="1:15" s="52" customFormat="1" x14ac:dyDescent="0.25">
      <c r="A112" s="142">
        <v>6</v>
      </c>
      <c r="B112" s="143" t="s">
        <v>119</v>
      </c>
      <c r="C112" s="56" t="s">
        <v>6</v>
      </c>
      <c r="D112" s="56" t="s">
        <v>104</v>
      </c>
      <c r="E112" s="160" t="s">
        <v>16</v>
      </c>
      <c r="F112" s="161">
        <v>0.66666666666666663</v>
      </c>
      <c r="G112" s="161">
        <v>0.75</v>
      </c>
      <c r="H112" s="112">
        <f t="shared" si="3"/>
        <v>8.333333333333337E-2</v>
      </c>
      <c r="I112" s="57"/>
      <c r="J112" s="57"/>
      <c r="K112" s="57"/>
      <c r="L112" s="57"/>
      <c r="M112" s="57"/>
      <c r="N112" s="62"/>
      <c r="O112" s="62"/>
    </row>
    <row r="113" spans="1:15" s="52" customFormat="1" x14ac:dyDescent="0.25">
      <c r="A113" s="142">
        <v>6</v>
      </c>
      <c r="B113" s="143" t="s">
        <v>56</v>
      </c>
      <c r="C113" s="56" t="s">
        <v>6</v>
      </c>
      <c r="D113" s="56" t="s">
        <v>102</v>
      </c>
      <c r="E113" s="160" t="s">
        <v>17</v>
      </c>
      <c r="F113" s="161">
        <v>0.58333333333333337</v>
      </c>
      <c r="G113" s="161">
        <v>0.66666666666666663</v>
      </c>
      <c r="H113" s="112">
        <f t="shared" si="3"/>
        <v>8.3333333333333259E-2</v>
      </c>
      <c r="I113" s="57"/>
      <c r="J113" s="57"/>
      <c r="K113" s="57"/>
      <c r="L113" s="57"/>
      <c r="M113" s="57"/>
      <c r="N113" s="62"/>
      <c r="O113" s="62"/>
    </row>
    <row r="114" spans="1:15" s="55" customFormat="1" x14ac:dyDescent="0.25">
      <c r="A114" s="140">
        <v>6</v>
      </c>
      <c r="B114" s="141" t="s">
        <v>56</v>
      </c>
      <c r="C114" s="56" t="s">
        <v>6</v>
      </c>
      <c r="D114" s="56" t="s">
        <v>104</v>
      </c>
      <c r="E114" s="160" t="s">
        <v>17</v>
      </c>
      <c r="F114" s="161">
        <v>0.66666666666666663</v>
      </c>
      <c r="G114" s="161">
        <v>0.75</v>
      </c>
      <c r="H114" s="112">
        <f t="shared" si="3"/>
        <v>8.333333333333337E-2</v>
      </c>
      <c r="I114" s="57"/>
      <c r="J114" s="57"/>
      <c r="K114" s="57"/>
      <c r="L114" s="57"/>
      <c r="M114" s="57"/>
      <c r="N114" s="62"/>
      <c r="O114" s="62"/>
    </row>
    <row r="115" spans="1:15" s="55" customFormat="1" x14ac:dyDescent="0.25">
      <c r="A115" s="144">
        <v>6</v>
      </c>
      <c r="B115" s="145" t="s">
        <v>118</v>
      </c>
      <c r="C115" s="48" t="s">
        <v>7</v>
      </c>
      <c r="D115" s="48" t="s">
        <v>102</v>
      </c>
      <c r="E115" s="42" t="s">
        <v>13</v>
      </c>
      <c r="F115" s="45">
        <v>0.33333333333333331</v>
      </c>
      <c r="G115" s="45">
        <v>0.41666666666666669</v>
      </c>
      <c r="H115" s="89">
        <f t="shared" si="3"/>
        <v>8.333333333333337E-2</v>
      </c>
      <c r="I115" s="49"/>
      <c r="J115" s="49"/>
      <c r="K115" s="49"/>
      <c r="L115" s="49"/>
      <c r="M115" s="49"/>
      <c r="N115" s="52"/>
      <c r="O115" s="52"/>
    </row>
    <row r="116" spans="1:15" s="55" customFormat="1" x14ac:dyDescent="0.25">
      <c r="A116" s="144">
        <v>6</v>
      </c>
      <c r="B116" s="145" t="s">
        <v>118</v>
      </c>
      <c r="C116" s="48" t="s">
        <v>7</v>
      </c>
      <c r="D116" s="48" t="s">
        <v>103</v>
      </c>
      <c r="E116" s="42" t="s">
        <v>13</v>
      </c>
      <c r="F116" s="45">
        <v>0.41666666666666669</v>
      </c>
      <c r="G116" s="45">
        <v>0.5</v>
      </c>
      <c r="H116" s="89">
        <f t="shared" si="3"/>
        <v>8.3333333333333315E-2</v>
      </c>
      <c r="I116" s="49"/>
      <c r="J116" s="49"/>
      <c r="K116" s="49"/>
      <c r="L116" s="49"/>
      <c r="M116" s="49"/>
      <c r="N116" s="52"/>
      <c r="O116" s="52"/>
    </row>
    <row r="117" spans="1:15" s="55" customFormat="1" x14ac:dyDescent="0.25">
      <c r="A117" s="144">
        <v>6</v>
      </c>
      <c r="B117" s="145" t="s">
        <v>118</v>
      </c>
      <c r="C117" s="48" t="s">
        <v>7</v>
      </c>
      <c r="D117" s="48" t="s">
        <v>104</v>
      </c>
      <c r="E117" s="42" t="s">
        <v>13</v>
      </c>
      <c r="F117" s="45">
        <v>0.5</v>
      </c>
      <c r="G117" s="45">
        <v>0.58333333333333337</v>
      </c>
      <c r="H117" s="89">
        <f t="shared" si="3"/>
        <v>8.333333333333337E-2</v>
      </c>
      <c r="I117" s="49"/>
      <c r="J117" s="49"/>
      <c r="K117" s="49"/>
      <c r="L117" s="49"/>
      <c r="M117" s="49"/>
      <c r="N117" s="52"/>
      <c r="O117" s="52"/>
    </row>
    <row r="118" spans="1:15" s="55" customFormat="1" x14ac:dyDescent="0.25">
      <c r="A118" s="144">
        <v>6</v>
      </c>
      <c r="B118" s="145" t="s">
        <v>119</v>
      </c>
      <c r="C118" s="48" t="s">
        <v>7</v>
      </c>
      <c r="D118" s="48" t="s">
        <v>102</v>
      </c>
      <c r="E118" s="151" t="s">
        <v>14</v>
      </c>
      <c r="F118" s="45">
        <v>0.33333333333333331</v>
      </c>
      <c r="G118" s="45">
        <v>0.41666666666666669</v>
      </c>
      <c r="H118" s="89">
        <f t="shared" si="3"/>
        <v>8.333333333333337E-2</v>
      </c>
      <c r="I118" s="49"/>
      <c r="J118" s="49"/>
      <c r="K118" s="49"/>
      <c r="L118" s="49"/>
      <c r="M118" s="49"/>
      <c r="N118" s="52"/>
      <c r="O118" s="52"/>
    </row>
    <row r="119" spans="1:15" s="55" customFormat="1" x14ac:dyDescent="0.25">
      <c r="A119" s="144">
        <v>6</v>
      </c>
      <c r="B119" s="145" t="s">
        <v>119</v>
      </c>
      <c r="C119" s="48" t="s">
        <v>7</v>
      </c>
      <c r="D119" s="48" t="s">
        <v>104</v>
      </c>
      <c r="E119" s="151" t="s">
        <v>14</v>
      </c>
      <c r="F119" s="45">
        <v>0.41666666666666669</v>
      </c>
      <c r="G119" s="45">
        <v>0.5</v>
      </c>
      <c r="H119" s="89">
        <f t="shared" si="3"/>
        <v>8.3333333333333315E-2</v>
      </c>
      <c r="I119" s="49"/>
      <c r="J119" s="49"/>
      <c r="K119" s="49"/>
      <c r="L119" s="49"/>
      <c r="M119" s="49"/>
      <c r="N119" s="52"/>
      <c r="O119" s="52"/>
    </row>
    <row r="120" spans="1:15" s="55" customFormat="1" x14ac:dyDescent="0.25">
      <c r="A120" s="144">
        <v>6</v>
      </c>
      <c r="B120" s="145" t="s">
        <v>56</v>
      </c>
      <c r="C120" s="48" t="s">
        <v>7</v>
      </c>
      <c r="D120" s="48" t="s">
        <v>102</v>
      </c>
      <c r="E120" s="49" t="s">
        <v>15</v>
      </c>
      <c r="F120" s="45">
        <v>0.33333333333333331</v>
      </c>
      <c r="G120" s="45">
        <v>0.41666666666666669</v>
      </c>
      <c r="H120" s="89">
        <f t="shared" si="3"/>
        <v>8.333333333333337E-2</v>
      </c>
      <c r="I120" s="49"/>
      <c r="J120" s="49"/>
      <c r="K120" s="49"/>
      <c r="L120" s="49"/>
      <c r="M120" s="49"/>
      <c r="N120" s="52"/>
      <c r="O120" s="52"/>
    </row>
    <row r="121" spans="1:15" s="55" customFormat="1" x14ac:dyDescent="0.25">
      <c r="A121" s="144">
        <v>6</v>
      </c>
      <c r="B121" s="145" t="s">
        <v>56</v>
      </c>
      <c r="C121" s="48" t="s">
        <v>7</v>
      </c>
      <c r="D121" s="48" t="s">
        <v>104</v>
      </c>
      <c r="E121" s="49" t="s">
        <v>15</v>
      </c>
      <c r="F121" s="45">
        <v>0.41666666666666669</v>
      </c>
      <c r="G121" s="45">
        <v>0.5</v>
      </c>
      <c r="H121" s="89">
        <f t="shared" si="3"/>
        <v>8.3333333333333315E-2</v>
      </c>
      <c r="I121" s="49"/>
      <c r="J121" s="49"/>
      <c r="K121" s="49"/>
      <c r="L121" s="49"/>
      <c r="M121" s="49"/>
      <c r="N121" s="52"/>
      <c r="O121" s="52"/>
    </row>
    <row r="122" spans="1:15" s="55" customFormat="1" x14ac:dyDescent="0.25">
      <c r="A122" s="144">
        <v>6</v>
      </c>
      <c r="B122" s="145" t="s">
        <v>120</v>
      </c>
      <c r="C122" s="48" t="s">
        <v>7</v>
      </c>
      <c r="D122" s="48" t="s">
        <v>102</v>
      </c>
      <c r="E122" s="49" t="s">
        <v>15</v>
      </c>
      <c r="F122" s="45">
        <v>0.58333333333333337</v>
      </c>
      <c r="G122" s="45">
        <v>0.66666666666666663</v>
      </c>
      <c r="H122" s="89">
        <f t="shared" si="3"/>
        <v>8.3333333333333259E-2</v>
      </c>
      <c r="I122" s="49"/>
      <c r="J122" s="49"/>
      <c r="K122" s="49"/>
      <c r="L122" s="49"/>
      <c r="M122" s="49"/>
      <c r="N122" s="52"/>
      <c r="O122" s="52"/>
    </row>
    <row r="123" spans="1:15" s="55" customFormat="1" x14ac:dyDescent="0.25">
      <c r="A123" s="144">
        <v>6</v>
      </c>
      <c r="B123" s="145" t="s">
        <v>120</v>
      </c>
      <c r="C123" s="48" t="s">
        <v>7</v>
      </c>
      <c r="D123" s="48" t="s">
        <v>103</v>
      </c>
      <c r="E123" s="49" t="s">
        <v>15</v>
      </c>
      <c r="F123" s="45">
        <v>0.66666666666666663</v>
      </c>
      <c r="G123" s="45">
        <v>0.75</v>
      </c>
      <c r="H123" s="89">
        <f t="shared" si="3"/>
        <v>8.333333333333337E-2</v>
      </c>
      <c r="I123" s="49"/>
      <c r="J123" s="49"/>
      <c r="K123" s="49"/>
      <c r="L123" s="49"/>
      <c r="M123" s="49"/>
      <c r="N123" s="52"/>
      <c r="O123" s="52"/>
    </row>
    <row r="124" spans="1:15" s="55" customFormat="1" x14ac:dyDescent="0.25">
      <c r="A124" s="144">
        <v>6</v>
      </c>
      <c r="B124" s="145" t="s">
        <v>117</v>
      </c>
      <c r="C124" s="48" t="s">
        <v>7</v>
      </c>
      <c r="D124" s="48" t="s">
        <v>102</v>
      </c>
      <c r="E124" s="42" t="s">
        <v>16</v>
      </c>
      <c r="F124" s="45">
        <v>0.33333333333333331</v>
      </c>
      <c r="G124" s="45">
        <v>0.45833333333333331</v>
      </c>
      <c r="H124" s="89">
        <f t="shared" si="3"/>
        <v>0.125</v>
      </c>
      <c r="I124" s="49"/>
      <c r="J124" s="49"/>
      <c r="K124" s="49"/>
      <c r="L124" s="49"/>
      <c r="M124" s="49"/>
      <c r="N124" s="52"/>
      <c r="O124" s="52"/>
    </row>
    <row r="125" spans="1:15" s="55" customFormat="1" x14ac:dyDescent="0.25">
      <c r="A125" s="146">
        <v>6</v>
      </c>
      <c r="B125" s="147" t="s">
        <v>117</v>
      </c>
      <c r="C125" s="48" t="s">
        <v>7</v>
      </c>
      <c r="D125" s="48" t="s">
        <v>104</v>
      </c>
      <c r="E125" s="42" t="s">
        <v>16</v>
      </c>
      <c r="F125" s="45">
        <v>0.45833333333333331</v>
      </c>
      <c r="G125" s="45">
        <v>0.54166666666666663</v>
      </c>
      <c r="H125" s="89">
        <f t="shared" si="3"/>
        <v>8.3333333333333315E-2</v>
      </c>
      <c r="I125" s="49"/>
      <c r="J125" s="49"/>
      <c r="K125" s="49"/>
      <c r="L125" s="49"/>
      <c r="M125" s="49"/>
      <c r="N125" s="52"/>
      <c r="O125" s="52"/>
    </row>
    <row r="126" spans="1:15" s="55" customFormat="1" x14ac:dyDescent="0.25">
      <c r="A126" s="146">
        <v>6</v>
      </c>
      <c r="B126" s="147" t="s">
        <v>116</v>
      </c>
      <c r="C126" s="48" t="s">
        <v>7</v>
      </c>
      <c r="D126" s="48" t="s">
        <v>102</v>
      </c>
      <c r="E126" s="42" t="s">
        <v>17</v>
      </c>
      <c r="F126" s="45">
        <v>0.33333333333333331</v>
      </c>
      <c r="G126" s="45">
        <v>0.45833333333333331</v>
      </c>
      <c r="H126" s="89">
        <f t="shared" si="3"/>
        <v>0.125</v>
      </c>
      <c r="I126" s="49"/>
      <c r="J126" s="49"/>
      <c r="K126" s="49"/>
      <c r="L126" s="49"/>
      <c r="M126" s="49"/>
      <c r="N126" s="52"/>
      <c r="O126" s="52"/>
    </row>
    <row r="127" spans="1:15" s="91" customFormat="1" ht="15" customHeight="1" x14ac:dyDescent="0.25">
      <c r="A127" s="144">
        <v>6</v>
      </c>
      <c r="B127" s="145" t="s">
        <v>116</v>
      </c>
      <c r="C127" s="48" t="s">
        <v>7</v>
      </c>
      <c r="D127" s="48" t="s">
        <v>104</v>
      </c>
      <c r="E127" s="42" t="s">
        <v>17</v>
      </c>
      <c r="F127" s="45">
        <v>0.45833333333333331</v>
      </c>
      <c r="G127" s="45">
        <v>0.54166666666666663</v>
      </c>
      <c r="H127" s="89">
        <f t="shared" si="3"/>
        <v>8.3333333333333315E-2</v>
      </c>
      <c r="I127" s="49"/>
      <c r="J127" s="49"/>
      <c r="K127" s="49"/>
      <c r="L127" s="49"/>
      <c r="M127" s="49"/>
      <c r="N127" s="52"/>
      <c r="O127" s="52"/>
    </row>
    <row r="128" spans="1:15" s="91" customFormat="1" x14ac:dyDescent="0.25">
      <c r="A128" s="148">
        <v>6</v>
      </c>
      <c r="B128" s="149" t="s">
        <v>116</v>
      </c>
      <c r="C128" s="35" t="s">
        <v>8</v>
      </c>
      <c r="D128" s="35" t="s">
        <v>102</v>
      </c>
      <c r="E128" s="39" t="s">
        <v>13</v>
      </c>
      <c r="F128" s="39">
        <v>0.58333333333333337</v>
      </c>
      <c r="G128" s="39">
        <v>0.70833333333333337</v>
      </c>
      <c r="H128" s="70">
        <f t="shared" si="3"/>
        <v>0.125</v>
      </c>
      <c r="I128" s="36"/>
      <c r="J128" s="36"/>
      <c r="K128" s="36"/>
      <c r="L128" s="36"/>
      <c r="M128" s="36"/>
      <c r="N128" s="55"/>
      <c r="O128" s="55"/>
    </row>
    <row r="129" spans="1:15" s="91" customFormat="1" x14ac:dyDescent="0.25">
      <c r="A129" s="148">
        <v>6</v>
      </c>
      <c r="B129" s="149" t="s">
        <v>116</v>
      </c>
      <c r="C129" s="35" t="s">
        <v>8</v>
      </c>
      <c r="D129" s="35" t="s">
        <v>104</v>
      </c>
      <c r="E129" s="39" t="s">
        <v>13</v>
      </c>
      <c r="F129" s="39">
        <v>0.70833333333333337</v>
      </c>
      <c r="G129" s="39">
        <v>0.79166666666666663</v>
      </c>
      <c r="H129" s="70">
        <f t="shared" si="3"/>
        <v>8.3333333333333259E-2</v>
      </c>
      <c r="I129" s="36"/>
      <c r="J129" s="36"/>
      <c r="K129" s="36"/>
      <c r="L129" s="36"/>
      <c r="M129" s="36"/>
      <c r="N129" s="55"/>
      <c r="O129" s="55"/>
    </row>
    <row r="130" spans="1:15" s="91" customFormat="1" x14ac:dyDescent="0.25">
      <c r="A130" s="148">
        <v>6</v>
      </c>
      <c r="B130" s="149" t="s">
        <v>117</v>
      </c>
      <c r="C130" s="35" t="s">
        <v>8</v>
      </c>
      <c r="D130" s="35" t="s">
        <v>102</v>
      </c>
      <c r="E130" s="167" t="s">
        <v>14</v>
      </c>
      <c r="F130" s="39">
        <v>0.58333333333333337</v>
      </c>
      <c r="G130" s="39">
        <v>0.70833333333333337</v>
      </c>
      <c r="H130" s="70">
        <f t="shared" si="3"/>
        <v>0.125</v>
      </c>
      <c r="I130" s="36"/>
      <c r="J130" s="36"/>
      <c r="K130" s="36"/>
      <c r="L130" s="36"/>
      <c r="M130" s="36"/>
      <c r="N130" s="55"/>
      <c r="O130" s="55"/>
    </row>
    <row r="131" spans="1:15" s="91" customFormat="1" x14ac:dyDescent="0.25">
      <c r="A131" s="148">
        <v>6</v>
      </c>
      <c r="B131" s="149" t="s">
        <v>117</v>
      </c>
      <c r="C131" s="35" t="s">
        <v>8</v>
      </c>
      <c r="D131" s="35" t="s">
        <v>104</v>
      </c>
      <c r="E131" s="167" t="s">
        <v>14</v>
      </c>
      <c r="F131" s="39">
        <v>0.70833333333333337</v>
      </c>
      <c r="G131" s="39">
        <v>0.79166666666666663</v>
      </c>
      <c r="H131" s="70">
        <f t="shared" si="3"/>
        <v>8.3333333333333259E-2</v>
      </c>
      <c r="I131" s="36"/>
      <c r="J131" s="36"/>
      <c r="K131" s="36"/>
      <c r="L131" s="36"/>
      <c r="M131" s="36"/>
      <c r="N131" s="55"/>
      <c r="O131" s="55"/>
    </row>
    <row r="132" spans="1:15" s="91" customFormat="1" x14ac:dyDescent="0.25">
      <c r="A132" s="148">
        <v>6</v>
      </c>
      <c r="B132" s="149" t="s">
        <v>118</v>
      </c>
      <c r="C132" s="35" t="s">
        <v>8</v>
      </c>
      <c r="D132" s="35" t="s">
        <v>102</v>
      </c>
      <c r="E132" s="162" t="s">
        <v>15</v>
      </c>
      <c r="F132" s="163">
        <v>0.33333333333333331</v>
      </c>
      <c r="G132" s="163">
        <v>0.41666666666666669</v>
      </c>
      <c r="H132" s="70">
        <f t="shared" si="3"/>
        <v>8.333333333333337E-2</v>
      </c>
      <c r="I132" s="36"/>
      <c r="J132" s="36"/>
      <c r="K132" s="36"/>
      <c r="L132" s="36"/>
      <c r="M132" s="36"/>
      <c r="N132" s="55"/>
      <c r="O132" s="55"/>
    </row>
    <row r="133" spans="1:15" s="91" customFormat="1" x14ac:dyDescent="0.25">
      <c r="A133" s="148">
        <v>6</v>
      </c>
      <c r="B133" s="149" t="s">
        <v>118</v>
      </c>
      <c r="C133" s="35" t="s">
        <v>8</v>
      </c>
      <c r="D133" s="35" t="s">
        <v>103</v>
      </c>
      <c r="E133" s="167" t="s">
        <v>15</v>
      </c>
      <c r="F133" s="163">
        <v>0.41666666666666669</v>
      </c>
      <c r="G133" s="163">
        <v>0.5</v>
      </c>
      <c r="H133" s="70">
        <f t="shared" ref="H133:H140" si="4">G133-F133</f>
        <v>8.3333333333333315E-2</v>
      </c>
      <c r="I133" s="36"/>
      <c r="J133" s="36"/>
      <c r="K133" s="36"/>
      <c r="L133" s="36"/>
      <c r="M133" s="36"/>
      <c r="N133" s="55"/>
      <c r="O133" s="55"/>
    </row>
    <row r="134" spans="1:15" s="91" customFormat="1" x14ac:dyDescent="0.25">
      <c r="A134" s="148">
        <v>6</v>
      </c>
      <c r="B134" s="149" t="s">
        <v>118</v>
      </c>
      <c r="C134" s="35" t="s">
        <v>8</v>
      </c>
      <c r="D134" s="35" t="s">
        <v>104</v>
      </c>
      <c r="E134" s="167" t="s">
        <v>15</v>
      </c>
      <c r="F134" s="163">
        <v>0.5</v>
      </c>
      <c r="G134" s="163">
        <v>0.58333333333333337</v>
      </c>
      <c r="H134" s="70">
        <f t="shared" si="4"/>
        <v>8.333333333333337E-2</v>
      </c>
      <c r="I134" s="36"/>
      <c r="J134" s="36"/>
      <c r="K134" s="36"/>
      <c r="L134" s="36"/>
      <c r="M134" s="36"/>
      <c r="N134" s="55"/>
      <c r="O134" s="55"/>
    </row>
    <row r="135" spans="1:15" s="124" customFormat="1" x14ac:dyDescent="0.25">
      <c r="A135" s="148">
        <v>6</v>
      </c>
      <c r="B135" s="149" t="s">
        <v>120</v>
      </c>
      <c r="C135" s="35" t="s">
        <v>8</v>
      </c>
      <c r="D135" s="35" t="s">
        <v>102</v>
      </c>
      <c r="E135" s="162" t="s">
        <v>16</v>
      </c>
      <c r="F135" s="163">
        <v>0.33333333333333331</v>
      </c>
      <c r="G135" s="163">
        <v>0.41666666666666669</v>
      </c>
      <c r="H135" s="70">
        <f t="shared" si="4"/>
        <v>8.333333333333337E-2</v>
      </c>
      <c r="I135" s="36"/>
      <c r="J135" s="36"/>
      <c r="K135" s="36"/>
      <c r="L135" s="36"/>
      <c r="M135" s="36"/>
      <c r="N135" s="55"/>
      <c r="O135" s="55"/>
    </row>
    <row r="136" spans="1:15" s="124" customFormat="1" x14ac:dyDescent="0.25">
      <c r="A136" s="148">
        <v>6</v>
      </c>
      <c r="B136" s="149" t="s">
        <v>120</v>
      </c>
      <c r="C136" s="35" t="s">
        <v>8</v>
      </c>
      <c r="D136" s="35" t="s">
        <v>103</v>
      </c>
      <c r="E136" s="162" t="s">
        <v>16</v>
      </c>
      <c r="F136" s="163">
        <v>0.33333333333333331</v>
      </c>
      <c r="G136" s="163">
        <v>0.41666666666666669</v>
      </c>
      <c r="H136" s="70">
        <f t="shared" si="4"/>
        <v>8.333333333333337E-2</v>
      </c>
      <c r="I136" s="36"/>
      <c r="J136" s="36"/>
      <c r="K136" s="36"/>
      <c r="L136" s="36"/>
      <c r="M136" s="36"/>
      <c r="N136" s="55"/>
      <c r="O136" s="55"/>
    </row>
    <row r="137" spans="1:15" s="124" customFormat="1" x14ac:dyDescent="0.25">
      <c r="A137" s="148">
        <v>6</v>
      </c>
      <c r="B137" s="149" t="s">
        <v>119</v>
      </c>
      <c r="C137" s="35" t="s">
        <v>8</v>
      </c>
      <c r="D137" s="35" t="s">
        <v>102</v>
      </c>
      <c r="E137" s="162" t="s">
        <v>16</v>
      </c>
      <c r="F137" s="163">
        <v>0.58333333333333337</v>
      </c>
      <c r="G137" s="163">
        <v>0.66666666666666663</v>
      </c>
      <c r="H137" s="70">
        <f t="shared" si="4"/>
        <v>8.3333333333333259E-2</v>
      </c>
      <c r="I137" s="36"/>
      <c r="J137" s="36"/>
      <c r="K137" s="36"/>
      <c r="L137" s="36"/>
      <c r="M137" s="36"/>
      <c r="N137" s="55"/>
      <c r="O137" s="55"/>
    </row>
    <row r="138" spans="1:15" s="124" customFormat="1" x14ac:dyDescent="0.25">
      <c r="A138" s="148">
        <v>6</v>
      </c>
      <c r="B138" s="149" t="s">
        <v>119</v>
      </c>
      <c r="C138" s="35" t="s">
        <v>8</v>
      </c>
      <c r="D138" s="35" t="s">
        <v>104</v>
      </c>
      <c r="E138" s="167" t="s">
        <v>16</v>
      </c>
      <c r="F138" s="163">
        <v>0.66666666666666663</v>
      </c>
      <c r="G138" s="163">
        <v>0.75</v>
      </c>
      <c r="H138" s="70">
        <f t="shared" si="4"/>
        <v>8.333333333333337E-2</v>
      </c>
      <c r="I138" s="36"/>
      <c r="J138" s="36"/>
      <c r="K138" s="36"/>
      <c r="L138" s="36"/>
      <c r="M138" s="36"/>
      <c r="N138" s="55"/>
      <c r="O138" s="55"/>
    </row>
    <row r="139" spans="1:15" s="124" customFormat="1" x14ac:dyDescent="0.25">
      <c r="A139" s="148">
        <v>6</v>
      </c>
      <c r="B139" s="149" t="s">
        <v>56</v>
      </c>
      <c r="C139" s="35" t="s">
        <v>8</v>
      </c>
      <c r="D139" s="35" t="s">
        <v>102</v>
      </c>
      <c r="E139" s="167" t="s">
        <v>17</v>
      </c>
      <c r="F139" s="163">
        <v>0.58333333333333337</v>
      </c>
      <c r="G139" s="163">
        <v>0.66666666666666663</v>
      </c>
      <c r="H139" s="70">
        <f t="shared" si="4"/>
        <v>8.3333333333333259E-2</v>
      </c>
      <c r="I139" s="36"/>
      <c r="J139" s="36"/>
      <c r="K139" s="36"/>
      <c r="L139" s="36"/>
      <c r="M139" s="36"/>
      <c r="N139" s="55"/>
      <c r="O139" s="55"/>
    </row>
    <row r="140" spans="1:15" s="124" customFormat="1" x14ac:dyDescent="0.25">
      <c r="A140" s="148">
        <v>6</v>
      </c>
      <c r="B140" s="149" t="s">
        <v>56</v>
      </c>
      <c r="C140" s="35" t="s">
        <v>8</v>
      </c>
      <c r="D140" s="35" t="s">
        <v>104</v>
      </c>
      <c r="E140" s="167" t="s">
        <v>17</v>
      </c>
      <c r="F140" s="163">
        <v>0.66666666666666663</v>
      </c>
      <c r="G140" s="163">
        <v>0.75</v>
      </c>
      <c r="H140" s="70">
        <f t="shared" si="4"/>
        <v>8.333333333333337E-2</v>
      </c>
      <c r="I140" s="36"/>
      <c r="J140" s="36"/>
      <c r="K140" s="36"/>
      <c r="L140" s="36"/>
      <c r="M140" s="36"/>
      <c r="N140" s="55"/>
      <c r="O140" s="55"/>
    </row>
    <row r="149" spans="1:1" x14ac:dyDescent="0.25">
      <c r="A149" t="s">
        <v>13</v>
      </c>
    </row>
    <row r="150" spans="1:1" x14ac:dyDescent="0.25">
      <c r="A150" t="s">
        <v>14</v>
      </c>
    </row>
    <row r="151" spans="1:1" x14ac:dyDescent="0.25">
      <c r="A151" t="s">
        <v>15</v>
      </c>
    </row>
    <row r="152" spans="1:1" x14ac:dyDescent="0.25">
      <c r="A152" t="s">
        <v>16</v>
      </c>
    </row>
    <row r="153" spans="1:1" x14ac:dyDescent="0.25">
      <c r="A153" t="s">
        <v>17</v>
      </c>
    </row>
    <row r="154" spans="1:1" x14ac:dyDescent="0.25">
      <c r="A154" t="s">
        <v>22</v>
      </c>
    </row>
  </sheetData>
  <autoFilter ref="A4:K140" xr:uid="{5CCD9546-D74F-4636-A93D-86030036DE62}">
    <filterColumn colId="0">
      <filters>
        <filter val="5"/>
        <filter val="6"/>
      </filters>
    </filterColumn>
  </autoFilter>
  <sortState xmlns:xlrd2="http://schemas.microsoft.com/office/spreadsheetml/2017/richdata2" ref="A89:O140">
    <sortCondition ref="A5:A140"/>
    <sortCondition ref="C5:C140"/>
    <sortCondition ref="E5:E140"/>
    <sortCondition ref="F5:F14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503A-885C-41AA-AA3F-8C8E0C893C97}">
  <dimension ref="A1:I208"/>
  <sheetViews>
    <sheetView zoomScale="160" zoomScaleNormal="160" workbookViewId="0">
      <selection activeCell="F8" sqref="F8"/>
    </sheetView>
  </sheetViews>
  <sheetFormatPr baseColWidth="10" defaultRowHeight="15.75" x14ac:dyDescent="0.25"/>
  <cols>
    <col min="1" max="1" width="7.28515625" style="24" customWidth="1"/>
    <col min="2" max="2" width="40" style="24" customWidth="1"/>
    <col min="3" max="3" width="8.85546875" style="24" customWidth="1"/>
    <col min="4" max="4" width="6.42578125" style="16" bestFit="1" customWidth="1"/>
    <col min="5" max="5" width="13" style="16" bestFit="1" customWidth="1"/>
    <col min="6" max="7" width="11.42578125" style="16"/>
    <col min="8" max="8" width="11.42578125" style="205"/>
    <col min="9" max="9" width="35.42578125" customWidth="1"/>
  </cols>
  <sheetData>
    <row r="1" spans="1:9" x14ac:dyDescent="0.25">
      <c r="A1" s="25" t="s">
        <v>94</v>
      </c>
    </row>
    <row r="2" spans="1:9" x14ac:dyDescent="0.25">
      <c r="A2" s="25" t="s">
        <v>36</v>
      </c>
    </row>
    <row r="3" spans="1:9" x14ac:dyDescent="0.25">
      <c r="A3" s="25"/>
    </row>
    <row r="4" spans="1:9" x14ac:dyDescent="0.25">
      <c r="A4" s="5" t="s">
        <v>19</v>
      </c>
      <c r="B4" s="6" t="s">
        <v>11</v>
      </c>
      <c r="C4" s="5" t="s">
        <v>0</v>
      </c>
      <c r="D4" s="7" t="s">
        <v>18</v>
      </c>
      <c r="E4" s="7" t="s">
        <v>2</v>
      </c>
      <c r="F4" s="7" t="s">
        <v>37</v>
      </c>
      <c r="G4" s="7" t="s">
        <v>38</v>
      </c>
      <c r="H4" s="206" t="s">
        <v>105</v>
      </c>
      <c r="I4" s="64" t="s">
        <v>106</v>
      </c>
    </row>
    <row r="5" spans="1:9" s="55" customFormat="1" x14ac:dyDescent="0.25">
      <c r="A5" s="93">
        <v>3</v>
      </c>
      <c r="B5" s="94" t="s">
        <v>24</v>
      </c>
      <c r="C5" s="95" t="s">
        <v>4</v>
      </c>
      <c r="D5" s="1" t="s">
        <v>102</v>
      </c>
      <c r="E5" s="106" t="s">
        <v>17</v>
      </c>
      <c r="F5" s="73">
        <v>0.33333333333333331</v>
      </c>
      <c r="G5" s="73">
        <v>0.45833333333333331</v>
      </c>
      <c r="H5" s="207">
        <f>G5-F5</f>
        <v>0.125</v>
      </c>
      <c r="I5" s="96" t="s">
        <v>24</v>
      </c>
    </row>
    <row r="6" spans="1:9" s="55" customFormat="1" x14ac:dyDescent="0.25">
      <c r="A6" s="93">
        <v>3</v>
      </c>
      <c r="B6" s="94" t="s">
        <v>24</v>
      </c>
      <c r="C6" s="95" t="s">
        <v>4</v>
      </c>
      <c r="D6" s="1" t="s">
        <v>103</v>
      </c>
      <c r="E6" s="106" t="s">
        <v>17</v>
      </c>
      <c r="F6" s="73">
        <v>0.45833333333333331</v>
      </c>
      <c r="G6" s="74">
        <v>0.54166666666666663</v>
      </c>
      <c r="H6" s="207">
        <f t="shared" ref="H6:H67" si="0">G6-F6</f>
        <v>8.3333333333333315E-2</v>
      </c>
      <c r="I6" s="96" t="s">
        <v>24</v>
      </c>
    </row>
    <row r="7" spans="1:9" s="55" customFormat="1" x14ac:dyDescent="0.25">
      <c r="A7" s="93">
        <v>3</v>
      </c>
      <c r="B7" s="94" t="s">
        <v>43</v>
      </c>
      <c r="C7" s="95" t="s">
        <v>4</v>
      </c>
      <c r="D7" s="1" t="s">
        <v>102</v>
      </c>
      <c r="E7" s="71" t="s">
        <v>17</v>
      </c>
      <c r="F7" s="97">
        <v>0.58333333333333337</v>
      </c>
      <c r="G7" s="208">
        <v>0.625</v>
      </c>
      <c r="H7" s="207">
        <f t="shared" si="0"/>
        <v>4.166666666666663E-2</v>
      </c>
      <c r="I7" s="96" t="s">
        <v>27</v>
      </c>
    </row>
    <row r="8" spans="1:9" s="55" customFormat="1" x14ac:dyDescent="0.25">
      <c r="A8" s="93">
        <v>3</v>
      </c>
      <c r="B8" s="94" t="s">
        <v>43</v>
      </c>
      <c r="C8" s="95" t="s">
        <v>4</v>
      </c>
      <c r="D8" s="1" t="s">
        <v>103</v>
      </c>
      <c r="E8" s="71" t="s">
        <v>17</v>
      </c>
      <c r="F8" s="98">
        <v>0.625</v>
      </c>
      <c r="G8" s="209">
        <v>0.70833333333333337</v>
      </c>
      <c r="H8" s="207">
        <f t="shared" si="0"/>
        <v>8.333333333333337E-2</v>
      </c>
      <c r="I8" s="96" t="s">
        <v>27</v>
      </c>
    </row>
    <row r="9" spans="1:9" s="55" customFormat="1" x14ac:dyDescent="0.25">
      <c r="A9" s="93">
        <v>3</v>
      </c>
      <c r="B9" s="94" t="s">
        <v>49</v>
      </c>
      <c r="C9" s="95" t="s">
        <v>4</v>
      </c>
      <c r="D9" s="1" t="s">
        <v>102</v>
      </c>
      <c r="E9" s="4" t="s">
        <v>16</v>
      </c>
      <c r="F9" s="99">
        <v>0.33333333333333331</v>
      </c>
      <c r="G9" s="210">
        <v>0.41666666666666669</v>
      </c>
      <c r="H9" s="207">
        <f t="shared" si="0"/>
        <v>8.333333333333337E-2</v>
      </c>
      <c r="I9" s="96" t="s">
        <v>29</v>
      </c>
    </row>
    <row r="10" spans="1:9" s="55" customFormat="1" x14ac:dyDescent="0.25">
      <c r="A10" s="93">
        <v>3</v>
      </c>
      <c r="B10" s="94" t="s">
        <v>49</v>
      </c>
      <c r="C10" s="95" t="s">
        <v>4</v>
      </c>
      <c r="D10" s="1" t="s">
        <v>103</v>
      </c>
      <c r="E10" s="4" t="s">
        <v>16</v>
      </c>
      <c r="F10" s="99">
        <v>0.41666666666666669</v>
      </c>
      <c r="G10" s="210">
        <v>0.5</v>
      </c>
      <c r="H10" s="207">
        <f t="shared" si="0"/>
        <v>8.3333333333333315E-2</v>
      </c>
      <c r="I10" s="96" t="s">
        <v>29</v>
      </c>
    </row>
    <row r="11" spans="1:9" s="55" customFormat="1" x14ac:dyDescent="0.25">
      <c r="A11" s="93">
        <v>3</v>
      </c>
      <c r="B11" s="94" t="s">
        <v>28</v>
      </c>
      <c r="C11" s="95" t="s">
        <v>4</v>
      </c>
      <c r="D11" s="1" t="s">
        <v>102</v>
      </c>
      <c r="E11" s="4" t="s">
        <v>14</v>
      </c>
      <c r="F11" s="99">
        <v>0.33333333333333331</v>
      </c>
      <c r="G11" s="210">
        <v>0.41666666666666669</v>
      </c>
      <c r="H11" s="207">
        <f t="shared" si="0"/>
        <v>8.333333333333337E-2</v>
      </c>
      <c r="I11" s="96" t="s">
        <v>28</v>
      </c>
    </row>
    <row r="12" spans="1:9" s="55" customFormat="1" x14ac:dyDescent="0.25">
      <c r="A12" s="93">
        <v>3</v>
      </c>
      <c r="B12" s="94" t="s">
        <v>28</v>
      </c>
      <c r="C12" s="95" t="s">
        <v>4</v>
      </c>
      <c r="D12" s="1" t="s">
        <v>103</v>
      </c>
      <c r="E12" s="4" t="s">
        <v>14</v>
      </c>
      <c r="F12" s="99">
        <v>0.41666666666666669</v>
      </c>
      <c r="G12" s="210">
        <v>0.5</v>
      </c>
      <c r="H12" s="207">
        <f t="shared" si="0"/>
        <v>8.3333333333333315E-2</v>
      </c>
      <c r="I12" s="96" t="s">
        <v>28</v>
      </c>
    </row>
    <row r="13" spans="1:9" s="55" customFormat="1" x14ac:dyDescent="0.25">
      <c r="A13" s="93">
        <v>3</v>
      </c>
      <c r="B13" s="94" t="s">
        <v>52</v>
      </c>
      <c r="C13" s="95" t="s">
        <v>4</v>
      </c>
      <c r="D13" s="1" t="s">
        <v>102</v>
      </c>
      <c r="E13" s="4" t="s">
        <v>17</v>
      </c>
      <c r="F13" s="99">
        <v>0.33333333333333331</v>
      </c>
      <c r="G13" s="210">
        <v>0.45833333333333331</v>
      </c>
      <c r="H13" s="207">
        <f t="shared" si="0"/>
        <v>0.125</v>
      </c>
      <c r="I13" s="96" t="s">
        <v>33</v>
      </c>
    </row>
    <row r="14" spans="1:9" s="55" customFormat="1" x14ac:dyDescent="0.25">
      <c r="A14" s="93">
        <v>3</v>
      </c>
      <c r="B14" s="94" t="s">
        <v>52</v>
      </c>
      <c r="C14" s="95" t="s">
        <v>4</v>
      </c>
      <c r="D14" s="1" t="s">
        <v>104</v>
      </c>
      <c r="E14" s="4" t="s">
        <v>17</v>
      </c>
      <c r="F14" s="99">
        <v>0.45833333333333331</v>
      </c>
      <c r="G14" s="210">
        <v>0.54166666666666663</v>
      </c>
      <c r="H14" s="207">
        <f t="shared" si="0"/>
        <v>8.3333333333333315E-2</v>
      </c>
      <c r="I14" s="96" t="s">
        <v>33</v>
      </c>
    </row>
    <row r="15" spans="1:9" s="55" customFormat="1" x14ac:dyDescent="0.25">
      <c r="A15" s="93">
        <v>3</v>
      </c>
      <c r="B15" s="94" t="s">
        <v>44</v>
      </c>
      <c r="C15" s="95" t="s">
        <v>4</v>
      </c>
      <c r="D15" s="1" t="s">
        <v>102</v>
      </c>
      <c r="E15" s="85" t="s">
        <v>15</v>
      </c>
      <c r="F15" s="99">
        <v>0.33333333333333331</v>
      </c>
      <c r="G15" s="210">
        <v>0.41666666666666669</v>
      </c>
      <c r="H15" s="207">
        <f t="shared" si="0"/>
        <v>8.333333333333337E-2</v>
      </c>
      <c r="I15" s="96" t="s">
        <v>26</v>
      </c>
    </row>
    <row r="16" spans="1:9" s="55" customFormat="1" x14ac:dyDescent="0.25">
      <c r="A16" s="93">
        <v>3</v>
      </c>
      <c r="B16" s="94" t="s">
        <v>42</v>
      </c>
      <c r="C16" s="95" t="s">
        <v>4</v>
      </c>
      <c r="D16" s="1" t="s">
        <v>104</v>
      </c>
      <c r="E16" s="85" t="s">
        <v>15</v>
      </c>
      <c r="F16" s="99">
        <v>0.41666666666666669</v>
      </c>
      <c r="G16" s="210">
        <v>0.5</v>
      </c>
      <c r="H16" s="207">
        <f t="shared" si="0"/>
        <v>8.3333333333333315E-2</v>
      </c>
      <c r="I16" s="96" t="s">
        <v>26</v>
      </c>
    </row>
    <row r="17" spans="1:9" s="55" customFormat="1" x14ac:dyDescent="0.25">
      <c r="A17" s="93">
        <v>3</v>
      </c>
      <c r="B17" s="94" t="s">
        <v>42</v>
      </c>
      <c r="C17" s="95" t="s">
        <v>4</v>
      </c>
      <c r="D17" s="1" t="s">
        <v>103</v>
      </c>
      <c r="E17" s="85" t="s">
        <v>15</v>
      </c>
      <c r="F17" s="98">
        <v>0.5</v>
      </c>
      <c r="G17" s="209">
        <v>0.58333333333333337</v>
      </c>
      <c r="H17" s="207">
        <f t="shared" si="0"/>
        <v>8.333333333333337E-2</v>
      </c>
      <c r="I17" s="96" t="s">
        <v>26</v>
      </c>
    </row>
    <row r="18" spans="1:9" s="55" customFormat="1" x14ac:dyDescent="0.25">
      <c r="A18" s="93">
        <v>3</v>
      </c>
      <c r="B18" s="94" t="s">
        <v>34</v>
      </c>
      <c r="C18" s="95" t="s">
        <v>4</v>
      </c>
      <c r="D18" s="1" t="s">
        <v>102</v>
      </c>
      <c r="E18" s="4" t="s">
        <v>13</v>
      </c>
      <c r="F18" s="99">
        <v>0.58333333333333337</v>
      </c>
      <c r="G18" s="210">
        <v>0.66666666666666663</v>
      </c>
      <c r="H18" s="207">
        <f t="shared" si="0"/>
        <v>8.3333333333333259E-2</v>
      </c>
      <c r="I18" s="96" t="s">
        <v>34</v>
      </c>
    </row>
    <row r="19" spans="1:9" s="55" customFormat="1" x14ac:dyDescent="0.25">
      <c r="A19" s="101">
        <v>3</v>
      </c>
      <c r="B19" s="102" t="s">
        <v>34</v>
      </c>
      <c r="C19" s="30" t="s">
        <v>4</v>
      </c>
      <c r="D19" s="1" t="s">
        <v>103</v>
      </c>
      <c r="E19" s="103" t="s">
        <v>13</v>
      </c>
      <c r="F19" s="104">
        <v>0.66666666666666663</v>
      </c>
      <c r="G19" s="211">
        <v>0.75</v>
      </c>
      <c r="H19" s="207">
        <f t="shared" si="0"/>
        <v>8.333333333333337E-2</v>
      </c>
      <c r="I19" s="96" t="s">
        <v>34</v>
      </c>
    </row>
    <row r="20" spans="1:9" x14ac:dyDescent="0.25">
      <c r="A20" s="170">
        <v>4</v>
      </c>
      <c r="B20" s="171" t="s">
        <v>45</v>
      </c>
      <c r="C20" s="172" t="s">
        <v>4</v>
      </c>
      <c r="D20" s="1" t="s">
        <v>102</v>
      </c>
      <c r="E20" s="10" t="s">
        <v>13</v>
      </c>
      <c r="F20" s="173">
        <v>0.33333333333333331</v>
      </c>
      <c r="G20" s="212">
        <v>0.45833333333333331</v>
      </c>
      <c r="H20" s="207">
        <f t="shared" si="0"/>
        <v>0.125</v>
      </c>
      <c r="I20" s="174" t="s">
        <v>25</v>
      </c>
    </row>
    <row r="21" spans="1:9" x14ac:dyDescent="0.25">
      <c r="A21" s="170">
        <v>4</v>
      </c>
      <c r="B21" s="171" t="s">
        <v>45</v>
      </c>
      <c r="C21" s="172" t="s">
        <v>4</v>
      </c>
      <c r="D21" s="1" t="s">
        <v>104</v>
      </c>
      <c r="E21" s="10" t="s">
        <v>13</v>
      </c>
      <c r="F21" s="173">
        <v>0.45833333333333331</v>
      </c>
      <c r="G21" s="212">
        <v>0.54166666666666663</v>
      </c>
      <c r="H21" s="207">
        <f t="shared" si="0"/>
        <v>8.3333333333333315E-2</v>
      </c>
      <c r="I21" s="174" t="s">
        <v>25</v>
      </c>
    </row>
    <row r="22" spans="1:9" x14ac:dyDescent="0.25">
      <c r="A22" s="170">
        <v>4</v>
      </c>
      <c r="B22" s="171" t="s">
        <v>47</v>
      </c>
      <c r="C22" s="172" t="s">
        <v>4</v>
      </c>
      <c r="D22" s="1" t="s">
        <v>102</v>
      </c>
      <c r="E22" s="10" t="s">
        <v>17</v>
      </c>
      <c r="F22" s="173">
        <v>0.58333333333333337</v>
      </c>
      <c r="G22" s="212">
        <v>0.625</v>
      </c>
      <c r="H22" s="207">
        <f t="shared" si="0"/>
        <v>4.166666666666663E-2</v>
      </c>
      <c r="I22" s="49"/>
    </row>
    <row r="23" spans="1:9" x14ac:dyDescent="0.25">
      <c r="A23" s="170">
        <v>4</v>
      </c>
      <c r="B23" s="171" t="s">
        <v>47</v>
      </c>
      <c r="C23" s="172" t="s">
        <v>4</v>
      </c>
      <c r="D23" s="1" t="s">
        <v>103</v>
      </c>
      <c r="E23" s="10" t="s">
        <v>17</v>
      </c>
      <c r="F23" s="173">
        <v>0.625</v>
      </c>
      <c r="G23" s="212">
        <v>0.70833333333333337</v>
      </c>
      <c r="H23" s="207">
        <f t="shared" si="0"/>
        <v>8.333333333333337E-2</v>
      </c>
      <c r="I23" s="49"/>
    </row>
    <row r="24" spans="1:9" x14ac:dyDescent="0.25">
      <c r="A24" s="170">
        <v>4</v>
      </c>
      <c r="B24" s="171" t="s">
        <v>48</v>
      </c>
      <c r="C24" s="172" t="s">
        <v>4</v>
      </c>
      <c r="D24" s="1" t="s">
        <v>102</v>
      </c>
      <c r="E24" s="10" t="s">
        <v>15</v>
      </c>
      <c r="F24" s="173">
        <v>0.33333333333333331</v>
      </c>
      <c r="G24" s="212">
        <v>0.41666666666666669</v>
      </c>
      <c r="H24" s="207">
        <f t="shared" si="0"/>
        <v>8.333333333333337E-2</v>
      </c>
      <c r="I24" s="49"/>
    </row>
    <row r="25" spans="1:9" x14ac:dyDescent="0.25">
      <c r="A25" s="170">
        <v>4</v>
      </c>
      <c r="B25" s="171" t="s">
        <v>48</v>
      </c>
      <c r="C25" s="172" t="s">
        <v>4</v>
      </c>
      <c r="D25" s="1" t="s">
        <v>103</v>
      </c>
      <c r="E25" s="10" t="s">
        <v>15</v>
      </c>
      <c r="F25" s="173">
        <v>0.41666666666666669</v>
      </c>
      <c r="G25" s="212">
        <v>0.5</v>
      </c>
      <c r="H25" s="207">
        <f t="shared" si="0"/>
        <v>8.3333333333333315E-2</v>
      </c>
      <c r="I25" s="49"/>
    </row>
    <row r="26" spans="1:9" x14ac:dyDescent="0.25">
      <c r="A26" s="170">
        <v>4</v>
      </c>
      <c r="B26" s="171" t="s">
        <v>50</v>
      </c>
      <c r="C26" s="172" t="s">
        <v>4</v>
      </c>
      <c r="D26" s="1" t="s">
        <v>102</v>
      </c>
      <c r="E26" s="10" t="s">
        <v>13</v>
      </c>
      <c r="F26" s="173">
        <v>0.58333333333333337</v>
      </c>
      <c r="G26" s="212">
        <v>0.66666666666666663</v>
      </c>
      <c r="H26" s="207">
        <f t="shared" si="0"/>
        <v>8.3333333333333259E-2</v>
      </c>
      <c r="I26" s="49"/>
    </row>
    <row r="27" spans="1:9" x14ac:dyDescent="0.25">
      <c r="A27" s="170">
        <v>4</v>
      </c>
      <c r="B27" s="171" t="s">
        <v>50</v>
      </c>
      <c r="C27" s="172" t="s">
        <v>4</v>
      </c>
      <c r="D27" s="1" t="s">
        <v>104</v>
      </c>
      <c r="E27" s="10" t="s">
        <v>13</v>
      </c>
      <c r="F27" s="173">
        <v>0.66666666666666663</v>
      </c>
      <c r="G27" s="212">
        <v>0.75</v>
      </c>
      <c r="H27" s="207">
        <f t="shared" si="0"/>
        <v>8.333333333333337E-2</v>
      </c>
      <c r="I27" s="49"/>
    </row>
    <row r="28" spans="1:9" x14ac:dyDescent="0.25">
      <c r="A28" s="170">
        <v>4</v>
      </c>
      <c r="B28" s="171" t="s">
        <v>51</v>
      </c>
      <c r="C28" s="172" t="s">
        <v>4</v>
      </c>
      <c r="D28" s="1" t="s">
        <v>102</v>
      </c>
      <c r="E28" s="10" t="s">
        <v>14</v>
      </c>
      <c r="F28" s="173">
        <v>0.33333333333333331</v>
      </c>
      <c r="G28" s="212">
        <v>0.41666666666666669</v>
      </c>
      <c r="H28" s="207">
        <f t="shared" si="0"/>
        <v>8.333333333333337E-2</v>
      </c>
      <c r="I28" s="49"/>
    </row>
    <row r="29" spans="1:9" x14ac:dyDescent="0.25">
      <c r="A29" s="170">
        <v>4</v>
      </c>
      <c r="B29" s="171" t="s">
        <v>51</v>
      </c>
      <c r="C29" s="172" t="s">
        <v>4</v>
      </c>
      <c r="D29" s="1" t="s">
        <v>104</v>
      </c>
      <c r="E29" s="10" t="s">
        <v>14</v>
      </c>
      <c r="F29" s="173">
        <v>0.41666666666666669</v>
      </c>
      <c r="G29" s="212">
        <v>0.5</v>
      </c>
      <c r="H29" s="207">
        <f t="shared" si="0"/>
        <v>8.3333333333333315E-2</v>
      </c>
      <c r="I29" s="49"/>
    </row>
    <row r="30" spans="1:9" x14ac:dyDescent="0.25">
      <c r="A30" s="170">
        <v>4</v>
      </c>
      <c r="B30" s="171" t="s">
        <v>31</v>
      </c>
      <c r="C30" s="172" t="s">
        <v>4</v>
      </c>
      <c r="D30" s="1" t="s">
        <v>102</v>
      </c>
      <c r="E30" s="10" t="s">
        <v>17</v>
      </c>
      <c r="F30" s="173">
        <v>0.33333333333333331</v>
      </c>
      <c r="G30" s="212">
        <v>0.41666666666666669</v>
      </c>
      <c r="H30" s="207">
        <f t="shared" si="0"/>
        <v>8.333333333333337E-2</v>
      </c>
      <c r="I30" s="174" t="s">
        <v>31</v>
      </c>
    </row>
    <row r="31" spans="1:9" x14ac:dyDescent="0.25">
      <c r="A31" s="170">
        <v>4</v>
      </c>
      <c r="B31" s="171" t="s">
        <v>31</v>
      </c>
      <c r="C31" s="172" t="s">
        <v>4</v>
      </c>
      <c r="D31" s="1" t="s">
        <v>104</v>
      </c>
      <c r="E31" s="10" t="s">
        <v>17</v>
      </c>
      <c r="F31" s="173">
        <v>0.41666666666666669</v>
      </c>
      <c r="G31" s="212">
        <v>0.5</v>
      </c>
      <c r="H31" s="207">
        <f t="shared" si="0"/>
        <v>8.3333333333333315E-2</v>
      </c>
      <c r="I31" s="174" t="s">
        <v>31</v>
      </c>
    </row>
    <row r="32" spans="1:9" x14ac:dyDescent="0.25">
      <c r="A32" s="170">
        <v>4</v>
      </c>
      <c r="B32" s="171" t="s">
        <v>46</v>
      </c>
      <c r="C32" s="172" t="s">
        <v>4</v>
      </c>
      <c r="D32" s="1" t="s">
        <v>102</v>
      </c>
      <c r="E32" s="10" t="s">
        <v>16</v>
      </c>
      <c r="F32" s="173">
        <v>0.33333333333333331</v>
      </c>
      <c r="G32" s="212">
        <v>0.41666666666666669</v>
      </c>
      <c r="H32" s="207">
        <f t="shared" si="0"/>
        <v>8.333333333333337E-2</v>
      </c>
      <c r="I32" s="174" t="s">
        <v>30</v>
      </c>
    </row>
    <row r="33" spans="1:9" x14ac:dyDescent="0.25">
      <c r="A33" s="170">
        <v>4</v>
      </c>
      <c r="B33" s="171" t="s">
        <v>46</v>
      </c>
      <c r="C33" s="172" t="s">
        <v>4</v>
      </c>
      <c r="D33" s="1" t="s">
        <v>103</v>
      </c>
      <c r="E33" s="10" t="s">
        <v>16</v>
      </c>
      <c r="F33" s="173">
        <v>0.41666666666666669</v>
      </c>
      <c r="G33" s="212">
        <v>0.5</v>
      </c>
      <c r="H33" s="207">
        <f t="shared" si="0"/>
        <v>8.3333333333333315E-2</v>
      </c>
      <c r="I33" s="174" t="s">
        <v>30</v>
      </c>
    </row>
    <row r="34" spans="1:9" x14ac:dyDescent="0.25">
      <c r="A34" s="170">
        <v>4</v>
      </c>
      <c r="B34" s="171" t="s">
        <v>46</v>
      </c>
      <c r="C34" s="172" t="s">
        <v>4</v>
      </c>
      <c r="D34" s="1" t="s">
        <v>104</v>
      </c>
      <c r="E34" s="10" t="s">
        <v>16</v>
      </c>
      <c r="F34" s="173">
        <v>0.5</v>
      </c>
      <c r="G34" s="212">
        <v>0.58333333333333337</v>
      </c>
      <c r="H34" s="207">
        <f t="shared" si="0"/>
        <v>8.333333333333337E-2</v>
      </c>
      <c r="I34" s="174" t="s">
        <v>30</v>
      </c>
    </row>
    <row r="35" spans="1:9" x14ac:dyDescent="0.25">
      <c r="A35" s="175">
        <v>5</v>
      </c>
      <c r="B35" s="176" t="s">
        <v>32</v>
      </c>
      <c r="C35" s="177" t="s">
        <v>4</v>
      </c>
      <c r="D35" s="2" t="s">
        <v>102</v>
      </c>
      <c r="E35" s="41" t="s">
        <v>13</v>
      </c>
      <c r="F35" s="178">
        <v>0.33333333333333331</v>
      </c>
      <c r="G35" s="213">
        <v>0.45833333333333331</v>
      </c>
      <c r="H35" s="207">
        <f t="shared" si="0"/>
        <v>0.125</v>
      </c>
      <c r="I35" s="15" t="s">
        <v>32</v>
      </c>
    </row>
    <row r="36" spans="1:9" x14ac:dyDescent="0.25">
      <c r="A36" s="175">
        <v>5</v>
      </c>
      <c r="B36" s="176" t="s">
        <v>32</v>
      </c>
      <c r="C36" s="177" t="s">
        <v>4</v>
      </c>
      <c r="D36" s="2" t="s">
        <v>104</v>
      </c>
      <c r="E36" s="41" t="s">
        <v>13</v>
      </c>
      <c r="F36" s="178">
        <v>0.45833333333333331</v>
      </c>
      <c r="G36" s="213">
        <v>0.54166666666666663</v>
      </c>
      <c r="H36" s="207">
        <f t="shared" si="0"/>
        <v>8.3333333333333315E-2</v>
      </c>
      <c r="I36" s="15" t="s">
        <v>32</v>
      </c>
    </row>
    <row r="37" spans="1:9" x14ac:dyDescent="0.25">
      <c r="A37" s="175">
        <v>5</v>
      </c>
      <c r="B37" s="176" t="s">
        <v>53</v>
      </c>
      <c r="C37" s="177" t="s">
        <v>4</v>
      </c>
      <c r="D37" s="2" t="s">
        <v>102</v>
      </c>
      <c r="E37" s="218" t="s">
        <v>17</v>
      </c>
      <c r="F37" s="179">
        <v>0.33333333333333331</v>
      </c>
      <c r="G37" s="214">
        <v>0.41666666666666669</v>
      </c>
      <c r="H37" s="207">
        <f t="shared" si="0"/>
        <v>8.333333333333337E-2</v>
      </c>
      <c r="I37" s="126" t="s">
        <v>107</v>
      </c>
    </row>
    <row r="38" spans="1:9" x14ac:dyDescent="0.25">
      <c r="A38" s="175">
        <v>5</v>
      </c>
      <c r="B38" s="176" t="s">
        <v>53</v>
      </c>
      <c r="C38" s="177" t="s">
        <v>4</v>
      </c>
      <c r="D38" s="2" t="s">
        <v>104</v>
      </c>
      <c r="E38" s="218" t="s">
        <v>17</v>
      </c>
      <c r="F38" s="179">
        <v>0.41666666666666669</v>
      </c>
      <c r="G38" s="214">
        <v>0.5</v>
      </c>
      <c r="H38" s="207">
        <f t="shared" si="0"/>
        <v>8.3333333333333315E-2</v>
      </c>
      <c r="I38" s="87" t="s">
        <v>107</v>
      </c>
    </row>
    <row r="39" spans="1:9" x14ac:dyDescent="0.25">
      <c r="A39" s="175">
        <v>5</v>
      </c>
      <c r="B39" s="176" t="s">
        <v>54</v>
      </c>
      <c r="C39" s="177" t="s">
        <v>4</v>
      </c>
      <c r="D39" s="2" t="s">
        <v>102</v>
      </c>
      <c r="E39" s="41" t="s">
        <v>16</v>
      </c>
      <c r="F39" s="178">
        <v>0.33333333333333331</v>
      </c>
      <c r="G39" s="213">
        <v>0.45833333333333331</v>
      </c>
      <c r="H39" s="207">
        <f t="shared" si="0"/>
        <v>0.125</v>
      </c>
      <c r="I39" s="87" t="s">
        <v>108</v>
      </c>
    </row>
    <row r="40" spans="1:9" x14ac:dyDescent="0.25">
      <c r="A40" s="175">
        <v>5</v>
      </c>
      <c r="B40" s="176" t="s">
        <v>54</v>
      </c>
      <c r="C40" s="177" t="s">
        <v>4</v>
      </c>
      <c r="D40" s="2" t="s">
        <v>104</v>
      </c>
      <c r="E40" s="41" t="s">
        <v>16</v>
      </c>
      <c r="F40" s="178">
        <v>0.45833333333333331</v>
      </c>
      <c r="G40" s="213">
        <v>0.54166666666666663</v>
      </c>
      <c r="H40" s="207">
        <f t="shared" si="0"/>
        <v>8.3333333333333315E-2</v>
      </c>
      <c r="I40" s="87" t="s">
        <v>108</v>
      </c>
    </row>
    <row r="41" spans="1:9" x14ac:dyDescent="0.25">
      <c r="A41" s="175">
        <v>5</v>
      </c>
      <c r="B41" s="176" t="s">
        <v>55</v>
      </c>
      <c r="C41" s="177" t="s">
        <v>4</v>
      </c>
      <c r="D41" s="2" t="s">
        <v>102</v>
      </c>
      <c r="E41" s="219" t="s">
        <v>15</v>
      </c>
      <c r="F41" s="44">
        <v>0.33333333333333331</v>
      </c>
      <c r="G41" s="221">
        <v>0.41666666666666669</v>
      </c>
      <c r="H41" s="207">
        <f t="shared" si="0"/>
        <v>8.333333333333337E-2</v>
      </c>
      <c r="I41" s="87" t="s">
        <v>109</v>
      </c>
    </row>
    <row r="42" spans="1:9" x14ac:dyDescent="0.25">
      <c r="A42" s="175">
        <v>5</v>
      </c>
      <c r="B42" s="176" t="s">
        <v>55</v>
      </c>
      <c r="C42" s="177" t="s">
        <v>4</v>
      </c>
      <c r="D42" s="2" t="s">
        <v>103</v>
      </c>
      <c r="E42" s="219" t="s">
        <v>15</v>
      </c>
      <c r="F42" s="222">
        <v>0.41666666666666669</v>
      </c>
      <c r="G42" s="223">
        <v>0.5</v>
      </c>
      <c r="H42" s="207">
        <f t="shared" si="0"/>
        <v>8.3333333333333315E-2</v>
      </c>
      <c r="I42" s="87" t="s">
        <v>109</v>
      </c>
    </row>
    <row r="43" spans="1:9" x14ac:dyDescent="0.25">
      <c r="A43" s="175">
        <v>5</v>
      </c>
      <c r="B43" s="176" t="s">
        <v>56</v>
      </c>
      <c r="C43" s="177" t="s">
        <v>4</v>
      </c>
      <c r="D43" s="2" t="s">
        <v>102</v>
      </c>
      <c r="E43" s="220" t="s">
        <v>17</v>
      </c>
      <c r="F43" s="178">
        <v>0.58333333333333337</v>
      </c>
      <c r="G43" s="213">
        <v>0.66666666666666663</v>
      </c>
      <c r="H43" s="207">
        <f t="shared" si="0"/>
        <v>8.3333333333333259E-2</v>
      </c>
      <c r="I43" s="134" t="s">
        <v>56</v>
      </c>
    </row>
    <row r="44" spans="1:9" x14ac:dyDescent="0.25">
      <c r="A44" s="175">
        <v>5</v>
      </c>
      <c r="B44" s="176" t="s">
        <v>56</v>
      </c>
      <c r="C44" s="177" t="s">
        <v>4</v>
      </c>
      <c r="D44" s="2" t="s">
        <v>104</v>
      </c>
      <c r="E44" s="220" t="s">
        <v>17</v>
      </c>
      <c r="F44" s="178">
        <v>0.66666666666666663</v>
      </c>
      <c r="G44" s="213">
        <v>0.75</v>
      </c>
      <c r="H44" s="207">
        <f t="shared" si="0"/>
        <v>8.333333333333337E-2</v>
      </c>
      <c r="I44" s="134" t="s">
        <v>56</v>
      </c>
    </row>
    <row r="45" spans="1:9" x14ac:dyDescent="0.25">
      <c r="A45" s="175">
        <v>5</v>
      </c>
      <c r="B45" s="180" t="s">
        <v>58</v>
      </c>
      <c r="C45" s="177" t="s">
        <v>4</v>
      </c>
      <c r="D45" s="2" t="s">
        <v>102</v>
      </c>
      <c r="E45" s="3" t="s">
        <v>16</v>
      </c>
      <c r="F45" s="178">
        <v>0.58333333333333337</v>
      </c>
      <c r="G45" s="213">
        <v>0.66666666666666663</v>
      </c>
      <c r="H45" s="207">
        <f t="shared" si="0"/>
        <v>8.3333333333333259E-2</v>
      </c>
      <c r="I45" s="14"/>
    </row>
    <row r="46" spans="1:9" x14ac:dyDescent="0.25">
      <c r="A46" s="175">
        <v>5</v>
      </c>
      <c r="B46" s="180" t="s">
        <v>58</v>
      </c>
      <c r="C46" s="177" t="s">
        <v>4</v>
      </c>
      <c r="D46" s="2" t="s">
        <v>103</v>
      </c>
      <c r="E46" s="3" t="s">
        <v>16</v>
      </c>
      <c r="F46" s="178">
        <v>0.66666666666666663</v>
      </c>
      <c r="G46" s="213">
        <v>0.75</v>
      </c>
      <c r="H46" s="207">
        <f t="shared" si="0"/>
        <v>8.333333333333337E-2</v>
      </c>
      <c r="I46" s="14"/>
    </row>
    <row r="47" spans="1:9" x14ac:dyDescent="0.25">
      <c r="A47" s="175">
        <v>5</v>
      </c>
      <c r="B47" s="180" t="s">
        <v>57</v>
      </c>
      <c r="C47" s="177" t="s">
        <v>4</v>
      </c>
      <c r="D47" s="2" t="s">
        <v>102</v>
      </c>
      <c r="E47" s="3" t="s">
        <v>14</v>
      </c>
      <c r="F47" s="179">
        <v>0.33333333333333331</v>
      </c>
      <c r="G47" s="214">
        <v>0.41666666666666669</v>
      </c>
      <c r="H47" s="207">
        <f t="shared" si="0"/>
        <v>8.333333333333337E-2</v>
      </c>
      <c r="I47" s="14"/>
    </row>
    <row r="48" spans="1:9" x14ac:dyDescent="0.25">
      <c r="A48" s="175">
        <v>5</v>
      </c>
      <c r="B48" s="180" t="s">
        <v>57</v>
      </c>
      <c r="C48" s="177" t="s">
        <v>4</v>
      </c>
      <c r="D48" s="2" t="s">
        <v>103</v>
      </c>
      <c r="E48" s="3" t="s">
        <v>14</v>
      </c>
      <c r="F48" s="179">
        <v>0.41666666666666669</v>
      </c>
      <c r="G48" s="214">
        <v>0.5</v>
      </c>
      <c r="H48" s="207">
        <f t="shared" si="0"/>
        <v>8.3333333333333315E-2</v>
      </c>
      <c r="I48" s="14"/>
    </row>
    <row r="49" spans="1:9" x14ac:dyDescent="0.25">
      <c r="A49" s="181">
        <v>6</v>
      </c>
      <c r="B49" s="182" t="s">
        <v>59</v>
      </c>
      <c r="C49" s="95" t="s">
        <v>4</v>
      </c>
      <c r="D49" s="1" t="s">
        <v>102</v>
      </c>
      <c r="E49" s="4" t="s">
        <v>13</v>
      </c>
      <c r="F49" s="183">
        <v>0.75</v>
      </c>
      <c r="G49" s="184">
        <v>0.83333333333333337</v>
      </c>
      <c r="H49" s="215">
        <f t="shared" si="0"/>
        <v>8.333333333333337E-2</v>
      </c>
      <c r="I49" s="14"/>
    </row>
    <row r="50" spans="1:9" x14ac:dyDescent="0.25">
      <c r="A50" s="181">
        <v>6</v>
      </c>
      <c r="B50" s="182" t="s">
        <v>59</v>
      </c>
      <c r="C50" s="95" t="s">
        <v>4</v>
      </c>
      <c r="D50" s="1" t="s">
        <v>104</v>
      </c>
      <c r="E50" s="4" t="s">
        <v>13</v>
      </c>
      <c r="F50" s="183">
        <v>0.83333333333333337</v>
      </c>
      <c r="G50" s="184">
        <v>0.91666666666666663</v>
      </c>
      <c r="H50" s="215">
        <f t="shared" si="0"/>
        <v>8.3333333333333259E-2</v>
      </c>
      <c r="I50" s="14"/>
    </row>
    <row r="51" spans="1:9" x14ac:dyDescent="0.25">
      <c r="A51" s="181">
        <v>6</v>
      </c>
      <c r="B51" s="182" t="s">
        <v>61</v>
      </c>
      <c r="C51" s="95" t="s">
        <v>4</v>
      </c>
      <c r="D51" s="1" t="s">
        <v>102</v>
      </c>
      <c r="E51" s="38" t="s">
        <v>17</v>
      </c>
      <c r="F51" s="39">
        <v>0.33333333333333331</v>
      </c>
      <c r="G51" s="39">
        <v>0.45833333333333331</v>
      </c>
      <c r="H51" s="215">
        <f t="shared" si="0"/>
        <v>0.125</v>
      </c>
      <c r="I51" s="139" t="s">
        <v>116</v>
      </c>
    </row>
    <row r="52" spans="1:9" x14ac:dyDescent="0.25">
      <c r="A52" s="181">
        <v>6</v>
      </c>
      <c r="B52" s="182" t="s">
        <v>61</v>
      </c>
      <c r="C52" s="95" t="s">
        <v>4</v>
      </c>
      <c r="D52" s="1" t="s">
        <v>104</v>
      </c>
      <c r="E52" s="38" t="s">
        <v>17</v>
      </c>
      <c r="F52" s="39">
        <v>0.45833333333333331</v>
      </c>
      <c r="G52" s="39">
        <v>0.54166666666666663</v>
      </c>
      <c r="H52" s="215">
        <f t="shared" si="0"/>
        <v>8.3333333333333315E-2</v>
      </c>
      <c r="I52" s="134" t="s">
        <v>116</v>
      </c>
    </row>
    <row r="53" spans="1:9" x14ac:dyDescent="0.25">
      <c r="A53" s="187">
        <v>6</v>
      </c>
      <c r="B53" s="94" t="s">
        <v>64</v>
      </c>
      <c r="C53" s="95" t="s">
        <v>4</v>
      </c>
      <c r="D53" s="1" t="s">
        <v>102</v>
      </c>
      <c r="E53" s="4" t="s">
        <v>15</v>
      </c>
      <c r="F53" s="183">
        <v>0.33333333333333331</v>
      </c>
      <c r="G53" s="184">
        <v>0.41666666666666669</v>
      </c>
      <c r="H53" s="207">
        <f t="shared" si="0"/>
        <v>8.333333333333337E-2</v>
      </c>
      <c r="I53" s="141" t="s">
        <v>118</v>
      </c>
    </row>
    <row r="54" spans="1:9" x14ac:dyDescent="0.25">
      <c r="A54" s="187">
        <v>6</v>
      </c>
      <c r="B54" s="94" t="s">
        <v>64</v>
      </c>
      <c r="C54" s="95" t="s">
        <v>4</v>
      </c>
      <c r="D54" s="1" t="s">
        <v>103</v>
      </c>
      <c r="E54" s="4" t="s">
        <v>15</v>
      </c>
      <c r="F54" s="183">
        <v>0.41666666666666669</v>
      </c>
      <c r="G54" s="184">
        <v>0.5</v>
      </c>
      <c r="H54" s="207">
        <f t="shared" si="0"/>
        <v>8.3333333333333315E-2</v>
      </c>
      <c r="I54" s="141" t="s">
        <v>118</v>
      </c>
    </row>
    <row r="55" spans="1:9" x14ac:dyDescent="0.25">
      <c r="A55" s="181">
        <v>6</v>
      </c>
      <c r="B55" s="182" t="s">
        <v>63</v>
      </c>
      <c r="C55" s="95" t="s">
        <v>4</v>
      </c>
      <c r="D55" s="1" t="s">
        <v>102</v>
      </c>
      <c r="E55" s="92" t="s">
        <v>14</v>
      </c>
      <c r="F55" s="45">
        <v>0.33333333333333331</v>
      </c>
      <c r="G55" s="45">
        <v>0.41666666666666669</v>
      </c>
      <c r="H55" s="207">
        <f t="shared" si="0"/>
        <v>8.333333333333337E-2</v>
      </c>
      <c r="I55" s="87" t="s">
        <v>112</v>
      </c>
    </row>
    <row r="56" spans="1:9" x14ac:dyDescent="0.25">
      <c r="A56" s="181">
        <v>6</v>
      </c>
      <c r="B56" s="182" t="s">
        <v>63</v>
      </c>
      <c r="C56" s="95" t="s">
        <v>4</v>
      </c>
      <c r="D56" s="1" t="s">
        <v>104</v>
      </c>
      <c r="E56" s="92" t="s">
        <v>14</v>
      </c>
      <c r="F56" s="45">
        <v>0.41666666666666669</v>
      </c>
      <c r="G56" s="45">
        <v>0.5</v>
      </c>
      <c r="H56" s="207">
        <f t="shared" si="0"/>
        <v>8.3333333333333315E-2</v>
      </c>
      <c r="I56" s="87" t="s">
        <v>112</v>
      </c>
    </row>
    <row r="57" spans="1:9" x14ac:dyDescent="0.25">
      <c r="A57" s="181">
        <v>6</v>
      </c>
      <c r="B57" s="182" t="s">
        <v>65</v>
      </c>
      <c r="C57" s="95" t="s">
        <v>4</v>
      </c>
      <c r="D57" s="1" t="s">
        <v>102</v>
      </c>
      <c r="E57" s="188" t="s">
        <v>17</v>
      </c>
      <c r="F57" s="189">
        <v>0.33333333333333331</v>
      </c>
      <c r="G57" s="190">
        <v>0.41666666666666669</v>
      </c>
      <c r="H57" s="207">
        <f t="shared" si="0"/>
        <v>8.333333333333337E-2</v>
      </c>
      <c r="I57" s="166" t="s">
        <v>111</v>
      </c>
    </row>
    <row r="58" spans="1:9" x14ac:dyDescent="0.25">
      <c r="A58" s="181">
        <v>6</v>
      </c>
      <c r="B58" s="182" t="s">
        <v>65</v>
      </c>
      <c r="C58" s="95" t="s">
        <v>4</v>
      </c>
      <c r="D58" s="1" t="s">
        <v>104</v>
      </c>
      <c r="E58" s="188" t="s">
        <v>17</v>
      </c>
      <c r="F58" s="183">
        <v>0.41666666666666669</v>
      </c>
      <c r="G58" s="184">
        <v>0.5</v>
      </c>
      <c r="H58" s="207">
        <f t="shared" si="0"/>
        <v>8.3333333333333315E-2</v>
      </c>
      <c r="I58" s="166" t="s">
        <v>111</v>
      </c>
    </row>
    <row r="59" spans="1:9" x14ac:dyDescent="0.25">
      <c r="A59" s="181">
        <v>6</v>
      </c>
      <c r="B59" s="182" t="s">
        <v>62</v>
      </c>
      <c r="C59" s="95" t="s">
        <v>4</v>
      </c>
      <c r="D59" s="1" t="s">
        <v>102</v>
      </c>
      <c r="E59" s="188" t="s">
        <v>17</v>
      </c>
      <c r="F59" s="191">
        <v>0.75</v>
      </c>
      <c r="G59" s="192">
        <v>0.83333333333333337</v>
      </c>
      <c r="H59" s="207">
        <f t="shared" si="0"/>
        <v>8.333333333333337E-2</v>
      </c>
      <c r="I59" s="134" t="s">
        <v>120</v>
      </c>
    </row>
    <row r="60" spans="1:9" x14ac:dyDescent="0.25">
      <c r="A60" s="181">
        <v>6</v>
      </c>
      <c r="B60" s="182" t="s">
        <v>62</v>
      </c>
      <c r="C60" s="95" t="s">
        <v>4</v>
      </c>
      <c r="D60" s="1" t="s">
        <v>103</v>
      </c>
      <c r="E60" s="188" t="s">
        <v>17</v>
      </c>
      <c r="F60" s="193">
        <v>0.83333333333333337</v>
      </c>
      <c r="G60" s="194">
        <v>0.91666666666666663</v>
      </c>
      <c r="H60" s="207">
        <f t="shared" si="0"/>
        <v>8.3333333333333259E-2</v>
      </c>
      <c r="I60" s="134" t="s">
        <v>120</v>
      </c>
    </row>
    <row r="61" spans="1:9" x14ac:dyDescent="0.25">
      <c r="A61" s="181">
        <v>6</v>
      </c>
      <c r="B61" s="182" t="s">
        <v>60</v>
      </c>
      <c r="C61" s="95" t="s">
        <v>4</v>
      </c>
      <c r="D61" s="1" t="s">
        <v>102</v>
      </c>
      <c r="E61" s="195" t="s">
        <v>22</v>
      </c>
      <c r="F61" s="189">
        <v>0.33333333333333331</v>
      </c>
      <c r="G61" s="190">
        <v>0.41666666666666669</v>
      </c>
      <c r="H61" s="207">
        <f t="shared" si="0"/>
        <v>8.333333333333337E-2</v>
      </c>
      <c r="I61" s="14"/>
    </row>
    <row r="62" spans="1:9" x14ac:dyDescent="0.25">
      <c r="A62" s="181">
        <v>6</v>
      </c>
      <c r="B62" s="182" t="s">
        <v>60</v>
      </c>
      <c r="C62" s="95" t="s">
        <v>4</v>
      </c>
      <c r="D62" s="1" t="s">
        <v>104</v>
      </c>
      <c r="E62" s="195" t="s">
        <v>22</v>
      </c>
      <c r="F62" s="183">
        <v>0.41666666666666669</v>
      </c>
      <c r="G62" s="184">
        <v>0.5</v>
      </c>
      <c r="H62" s="207">
        <f t="shared" si="0"/>
        <v>8.3333333333333315E-2</v>
      </c>
      <c r="I62" s="14"/>
    </row>
    <row r="63" spans="1:9" x14ac:dyDescent="0.25">
      <c r="A63" s="181">
        <v>6</v>
      </c>
      <c r="B63" s="182" t="s">
        <v>59</v>
      </c>
      <c r="C63" s="95" t="s">
        <v>6</v>
      </c>
      <c r="D63" s="100" t="s">
        <v>1</v>
      </c>
      <c r="E63" s="188" t="s">
        <v>13</v>
      </c>
      <c r="F63" s="189">
        <v>0.75</v>
      </c>
      <c r="G63" s="190">
        <v>0.83333333333333337</v>
      </c>
      <c r="H63" s="207">
        <f t="shared" si="0"/>
        <v>8.333333333333337E-2</v>
      </c>
      <c r="I63" s="14"/>
    </row>
    <row r="64" spans="1:9" x14ac:dyDescent="0.25">
      <c r="A64" s="181">
        <v>6</v>
      </c>
      <c r="B64" s="182" t="s">
        <v>59</v>
      </c>
      <c r="C64" s="95" t="s">
        <v>6</v>
      </c>
      <c r="D64" s="100" t="s">
        <v>35</v>
      </c>
      <c r="E64" s="188" t="s">
        <v>13</v>
      </c>
      <c r="F64" s="183">
        <v>0.83333333333333337</v>
      </c>
      <c r="G64" s="184">
        <v>0.91666666666666663</v>
      </c>
      <c r="H64" s="207">
        <f t="shared" si="0"/>
        <v>8.3333333333333259E-2</v>
      </c>
      <c r="I64" s="14"/>
    </row>
    <row r="65" spans="1:9" x14ac:dyDescent="0.25">
      <c r="A65" s="181">
        <v>6</v>
      </c>
      <c r="B65" s="182" t="s">
        <v>61</v>
      </c>
      <c r="C65" s="95" t="s">
        <v>6</v>
      </c>
      <c r="D65" s="100" t="s">
        <v>1</v>
      </c>
      <c r="E65" s="195" t="s">
        <v>14</v>
      </c>
      <c r="F65" s="196">
        <v>0.75</v>
      </c>
      <c r="G65" s="190">
        <v>0.83333333333333337</v>
      </c>
      <c r="H65" s="207">
        <f t="shared" si="0"/>
        <v>8.333333333333337E-2</v>
      </c>
      <c r="I65" s="14"/>
    </row>
    <row r="66" spans="1:9" x14ac:dyDescent="0.25">
      <c r="A66" s="181">
        <v>6</v>
      </c>
      <c r="B66" s="182" t="s">
        <v>61</v>
      </c>
      <c r="C66" s="95" t="s">
        <v>6</v>
      </c>
      <c r="D66" s="100" t="s">
        <v>35</v>
      </c>
      <c r="E66" s="195" t="s">
        <v>14</v>
      </c>
      <c r="F66" s="190">
        <v>0.83333333333333337</v>
      </c>
      <c r="G66" s="184">
        <v>0.91666666666666663</v>
      </c>
      <c r="H66" s="207">
        <f t="shared" si="0"/>
        <v>8.3333333333333259E-2</v>
      </c>
      <c r="I66" s="14"/>
    </row>
    <row r="67" spans="1:9" x14ac:dyDescent="0.25">
      <c r="A67" s="187">
        <v>6</v>
      </c>
      <c r="B67" s="94" t="s">
        <v>64</v>
      </c>
      <c r="C67" s="95" t="s">
        <v>6</v>
      </c>
      <c r="D67" s="100" t="s">
        <v>1</v>
      </c>
      <c r="E67" s="188" t="s">
        <v>15</v>
      </c>
      <c r="F67" s="189">
        <v>0.33333333333333331</v>
      </c>
      <c r="G67" s="190">
        <v>0.41666666666666669</v>
      </c>
      <c r="H67" s="207">
        <f t="shared" si="0"/>
        <v>8.333333333333337E-2</v>
      </c>
      <c r="I67" s="14"/>
    </row>
    <row r="68" spans="1:9" x14ac:dyDescent="0.25">
      <c r="A68" s="187">
        <v>6</v>
      </c>
      <c r="B68" s="94" t="s">
        <v>64</v>
      </c>
      <c r="C68" s="95" t="s">
        <v>6</v>
      </c>
      <c r="D68" s="100" t="s">
        <v>5</v>
      </c>
      <c r="E68" s="188" t="s">
        <v>15</v>
      </c>
      <c r="F68" s="190">
        <v>0.41666666666666669</v>
      </c>
      <c r="G68" s="184">
        <v>0.5</v>
      </c>
      <c r="H68" s="207">
        <f t="shared" ref="H68:H122" si="1">G68-F68</f>
        <v>8.3333333333333315E-2</v>
      </c>
      <c r="I68" s="14"/>
    </row>
    <row r="69" spans="1:9" x14ac:dyDescent="0.25">
      <c r="A69" s="181">
        <v>6</v>
      </c>
      <c r="B69" s="182" t="s">
        <v>63</v>
      </c>
      <c r="C69" s="95" t="s">
        <v>6</v>
      </c>
      <c r="D69" s="100" t="s">
        <v>1</v>
      </c>
      <c r="E69" s="4" t="s">
        <v>16</v>
      </c>
      <c r="F69" s="189">
        <v>0.58333333333333337</v>
      </c>
      <c r="G69" s="190">
        <v>0.66666666666666663</v>
      </c>
      <c r="H69" s="207">
        <f t="shared" si="1"/>
        <v>8.3333333333333259E-2</v>
      </c>
      <c r="I69" s="14"/>
    </row>
    <row r="70" spans="1:9" x14ac:dyDescent="0.25">
      <c r="A70" s="181">
        <v>6</v>
      </c>
      <c r="B70" s="182" t="s">
        <v>63</v>
      </c>
      <c r="C70" s="95" t="s">
        <v>6</v>
      </c>
      <c r="D70" s="100" t="s">
        <v>5</v>
      </c>
      <c r="E70" s="4" t="s">
        <v>16</v>
      </c>
      <c r="F70" s="190">
        <v>0.66666666666666663</v>
      </c>
      <c r="G70" s="184">
        <v>0.75</v>
      </c>
      <c r="H70" s="207">
        <f t="shared" si="1"/>
        <v>8.333333333333337E-2</v>
      </c>
      <c r="I70" s="14"/>
    </row>
    <row r="71" spans="1:9" x14ac:dyDescent="0.25">
      <c r="A71" s="181">
        <v>6</v>
      </c>
      <c r="B71" s="182" t="s">
        <v>65</v>
      </c>
      <c r="C71" s="95" t="s">
        <v>6</v>
      </c>
      <c r="D71" s="100" t="s">
        <v>1</v>
      </c>
      <c r="E71" s="4" t="s">
        <v>17</v>
      </c>
      <c r="F71" s="189">
        <v>0.33333333333333331</v>
      </c>
      <c r="G71" s="190">
        <v>0.41666666666666669</v>
      </c>
      <c r="H71" s="207">
        <f t="shared" si="1"/>
        <v>8.333333333333337E-2</v>
      </c>
      <c r="I71" s="14"/>
    </row>
    <row r="72" spans="1:9" x14ac:dyDescent="0.25">
      <c r="A72" s="181">
        <v>6</v>
      </c>
      <c r="B72" s="182" t="s">
        <v>65</v>
      </c>
      <c r="C72" s="95" t="s">
        <v>6</v>
      </c>
      <c r="D72" s="100" t="s">
        <v>35</v>
      </c>
      <c r="E72" s="4" t="s">
        <v>17</v>
      </c>
      <c r="F72" s="190">
        <v>0.41666666666666669</v>
      </c>
      <c r="G72" s="184">
        <v>0.5</v>
      </c>
      <c r="H72" s="207">
        <f t="shared" si="1"/>
        <v>8.3333333333333315E-2</v>
      </c>
      <c r="I72" s="14"/>
    </row>
    <row r="73" spans="1:9" x14ac:dyDescent="0.25">
      <c r="A73" s="181">
        <v>6</v>
      </c>
      <c r="B73" s="182" t="s">
        <v>62</v>
      </c>
      <c r="C73" s="95" t="s">
        <v>6</v>
      </c>
      <c r="D73" s="100" t="s">
        <v>1</v>
      </c>
      <c r="E73" s="4" t="s">
        <v>17</v>
      </c>
      <c r="F73" s="197">
        <v>0.58333333333333337</v>
      </c>
      <c r="G73" s="198">
        <v>0.66666666666666663</v>
      </c>
      <c r="H73" s="207">
        <f t="shared" si="1"/>
        <v>8.3333333333333259E-2</v>
      </c>
      <c r="I73" s="14"/>
    </row>
    <row r="74" spans="1:9" x14ac:dyDescent="0.25">
      <c r="A74" s="181">
        <v>6</v>
      </c>
      <c r="B74" s="182" t="s">
        <v>62</v>
      </c>
      <c r="C74" s="95" t="s">
        <v>6</v>
      </c>
      <c r="D74" s="100" t="s">
        <v>5</v>
      </c>
      <c r="E74" s="4" t="s">
        <v>17</v>
      </c>
      <c r="F74" s="199">
        <v>0.66666666666666663</v>
      </c>
      <c r="G74" s="198">
        <v>0.75</v>
      </c>
      <c r="H74" s="207">
        <f t="shared" si="1"/>
        <v>8.333333333333337E-2</v>
      </c>
      <c r="I74" s="14"/>
    </row>
    <row r="75" spans="1:9" x14ac:dyDescent="0.25">
      <c r="A75" s="181">
        <v>6</v>
      </c>
      <c r="B75" s="182" t="s">
        <v>60</v>
      </c>
      <c r="C75" s="95" t="s">
        <v>6</v>
      </c>
      <c r="D75" s="100" t="s">
        <v>1</v>
      </c>
      <c r="E75" s="185" t="s">
        <v>22</v>
      </c>
      <c r="F75" s="189">
        <v>0.33333333333333331</v>
      </c>
      <c r="G75" s="190">
        <v>0.41666666666666669</v>
      </c>
      <c r="H75" s="207">
        <f t="shared" si="1"/>
        <v>8.333333333333337E-2</v>
      </c>
      <c r="I75" s="14"/>
    </row>
    <row r="76" spans="1:9" x14ac:dyDescent="0.25">
      <c r="A76" s="181">
        <v>6</v>
      </c>
      <c r="B76" s="182" t="s">
        <v>60</v>
      </c>
      <c r="C76" s="95" t="s">
        <v>6</v>
      </c>
      <c r="D76" s="100" t="s">
        <v>35</v>
      </c>
      <c r="E76" s="185" t="s">
        <v>22</v>
      </c>
      <c r="F76" s="190">
        <v>0.41666666666666669</v>
      </c>
      <c r="G76" s="184">
        <v>0.5</v>
      </c>
      <c r="H76" s="207">
        <f t="shared" si="1"/>
        <v>8.3333333333333315E-2</v>
      </c>
      <c r="I76" s="14"/>
    </row>
    <row r="77" spans="1:9" x14ac:dyDescent="0.25">
      <c r="A77" s="181">
        <v>6</v>
      </c>
      <c r="B77" s="182" t="s">
        <v>60</v>
      </c>
      <c r="C77" s="95" t="s">
        <v>7</v>
      </c>
      <c r="D77" s="100" t="s">
        <v>1</v>
      </c>
      <c r="E77" s="195" t="s">
        <v>14</v>
      </c>
      <c r="F77" s="199">
        <v>0.58333333333333337</v>
      </c>
      <c r="G77" s="198">
        <v>0.66666666666666663</v>
      </c>
      <c r="H77" s="207">
        <f t="shared" si="1"/>
        <v>8.3333333333333259E-2</v>
      </c>
      <c r="I77" s="14"/>
    </row>
    <row r="78" spans="1:9" x14ac:dyDescent="0.25">
      <c r="A78" s="181">
        <v>6</v>
      </c>
      <c r="B78" s="182" t="s">
        <v>60</v>
      </c>
      <c r="C78" s="95" t="s">
        <v>7</v>
      </c>
      <c r="D78" s="100" t="s">
        <v>35</v>
      </c>
      <c r="E78" s="195" t="s">
        <v>14</v>
      </c>
      <c r="F78" s="199">
        <v>0.66666666666666663</v>
      </c>
      <c r="G78" s="198">
        <v>0.75</v>
      </c>
      <c r="H78" s="207">
        <f t="shared" si="1"/>
        <v>8.333333333333337E-2</v>
      </c>
      <c r="I78" s="14"/>
    </row>
    <row r="79" spans="1:9" x14ac:dyDescent="0.25">
      <c r="A79" s="181">
        <v>6</v>
      </c>
      <c r="B79" s="182" t="s">
        <v>62</v>
      </c>
      <c r="C79" s="95" t="s">
        <v>7</v>
      </c>
      <c r="D79" s="100" t="s">
        <v>1</v>
      </c>
      <c r="E79" s="185" t="s">
        <v>14</v>
      </c>
      <c r="F79" s="193">
        <v>0.75</v>
      </c>
      <c r="G79" s="194">
        <v>0.83333333333333337</v>
      </c>
      <c r="H79" s="207">
        <f t="shared" si="1"/>
        <v>8.333333333333337E-2</v>
      </c>
      <c r="I79" s="14"/>
    </row>
    <row r="80" spans="1:9" x14ac:dyDescent="0.25">
      <c r="A80" s="181">
        <v>6</v>
      </c>
      <c r="B80" s="182" t="s">
        <v>62</v>
      </c>
      <c r="C80" s="95" t="s">
        <v>7</v>
      </c>
      <c r="D80" s="100" t="s">
        <v>5</v>
      </c>
      <c r="E80" s="185" t="s">
        <v>14</v>
      </c>
      <c r="F80" s="193">
        <v>0.83333333333333337</v>
      </c>
      <c r="G80" s="194">
        <v>0.91666666666666663</v>
      </c>
      <c r="H80" s="207">
        <f t="shared" si="1"/>
        <v>8.3333333333333259E-2</v>
      </c>
      <c r="I80" s="14"/>
    </row>
    <row r="81" spans="1:9" x14ac:dyDescent="0.25">
      <c r="A81" s="181">
        <v>6</v>
      </c>
      <c r="B81" s="182" t="s">
        <v>63</v>
      </c>
      <c r="C81" s="95" t="s">
        <v>7</v>
      </c>
      <c r="D81" s="100" t="s">
        <v>1</v>
      </c>
      <c r="E81" s="4" t="s">
        <v>15</v>
      </c>
      <c r="F81" s="184">
        <v>0.58333333333333337</v>
      </c>
      <c r="G81" s="209">
        <v>0.66666666666666663</v>
      </c>
      <c r="H81" s="207">
        <f t="shared" si="1"/>
        <v>8.3333333333333259E-2</v>
      </c>
      <c r="I81" s="14"/>
    </row>
    <row r="82" spans="1:9" x14ac:dyDescent="0.25">
      <c r="A82" s="181">
        <v>6</v>
      </c>
      <c r="B82" s="182" t="s">
        <v>63</v>
      </c>
      <c r="C82" s="95" t="s">
        <v>7</v>
      </c>
      <c r="D82" s="100" t="s">
        <v>5</v>
      </c>
      <c r="E82" s="4" t="s">
        <v>15</v>
      </c>
      <c r="F82" s="184">
        <v>0.66666666666666663</v>
      </c>
      <c r="G82" s="209">
        <v>0.75</v>
      </c>
      <c r="H82" s="207">
        <f t="shared" si="1"/>
        <v>8.333333333333337E-2</v>
      </c>
      <c r="I82" s="14"/>
    </row>
    <row r="83" spans="1:9" x14ac:dyDescent="0.25">
      <c r="A83" s="181">
        <v>6</v>
      </c>
      <c r="B83" s="182" t="s">
        <v>65</v>
      </c>
      <c r="C83" s="95" t="s">
        <v>7</v>
      </c>
      <c r="D83" s="100" t="s">
        <v>1</v>
      </c>
      <c r="E83" s="4" t="s">
        <v>16</v>
      </c>
      <c r="F83" s="183">
        <v>0.41666666666666669</v>
      </c>
      <c r="G83" s="184">
        <v>0.5</v>
      </c>
      <c r="H83" s="207">
        <f t="shared" si="1"/>
        <v>8.3333333333333315E-2</v>
      </c>
      <c r="I83" s="14"/>
    </row>
    <row r="84" spans="1:9" x14ac:dyDescent="0.25">
      <c r="A84" s="181">
        <v>6</v>
      </c>
      <c r="B84" s="182" t="s">
        <v>65</v>
      </c>
      <c r="C84" s="95" t="s">
        <v>7</v>
      </c>
      <c r="D84" s="100" t="s">
        <v>35</v>
      </c>
      <c r="E84" s="4" t="s">
        <v>16</v>
      </c>
      <c r="F84" s="183">
        <v>0.5</v>
      </c>
      <c r="G84" s="184">
        <v>0.58333333333333337</v>
      </c>
      <c r="H84" s="207">
        <f t="shared" si="1"/>
        <v>8.333333333333337E-2</v>
      </c>
      <c r="I84" s="14"/>
    </row>
    <row r="85" spans="1:9" x14ac:dyDescent="0.25">
      <c r="A85" s="181">
        <v>6</v>
      </c>
      <c r="B85" s="182" t="s">
        <v>61</v>
      </c>
      <c r="C85" s="95" t="s">
        <v>7</v>
      </c>
      <c r="D85" s="100" t="s">
        <v>1</v>
      </c>
      <c r="E85" s="4" t="s">
        <v>16</v>
      </c>
      <c r="F85" s="186">
        <v>0.58333333333333337</v>
      </c>
      <c r="G85" s="184">
        <v>0.66666666666666663</v>
      </c>
      <c r="H85" s="207">
        <f t="shared" si="1"/>
        <v>8.3333333333333259E-2</v>
      </c>
      <c r="I85" s="14"/>
    </row>
    <row r="86" spans="1:9" x14ac:dyDescent="0.25">
      <c r="A86" s="181">
        <v>6</v>
      </c>
      <c r="B86" s="182" t="s">
        <v>61</v>
      </c>
      <c r="C86" s="95" t="s">
        <v>7</v>
      </c>
      <c r="D86" s="100" t="s">
        <v>35</v>
      </c>
      <c r="E86" s="4" t="s">
        <v>16</v>
      </c>
      <c r="F86" s="183">
        <v>0.66666666666666663</v>
      </c>
      <c r="G86" s="184">
        <v>0.75</v>
      </c>
      <c r="H86" s="207">
        <f t="shared" si="1"/>
        <v>8.333333333333337E-2</v>
      </c>
      <c r="I86" s="14"/>
    </row>
    <row r="87" spans="1:9" x14ac:dyDescent="0.25">
      <c r="A87" s="181">
        <v>6</v>
      </c>
      <c r="B87" s="182" t="s">
        <v>59</v>
      </c>
      <c r="C87" s="95" t="s">
        <v>7</v>
      </c>
      <c r="D87" s="100" t="s">
        <v>1</v>
      </c>
      <c r="E87" s="4" t="s">
        <v>16</v>
      </c>
      <c r="F87" s="200">
        <v>0.75</v>
      </c>
      <c r="G87" s="201">
        <v>0.83333333333333337</v>
      </c>
      <c r="H87" s="207">
        <f t="shared" si="1"/>
        <v>8.333333333333337E-2</v>
      </c>
      <c r="I87" s="14"/>
    </row>
    <row r="88" spans="1:9" x14ac:dyDescent="0.25">
      <c r="A88" s="181">
        <v>6</v>
      </c>
      <c r="B88" s="182" t="s">
        <v>59</v>
      </c>
      <c r="C88" s="95" t="s">
        <v>7</v>
      </c>
      <c r="D88" s="100" t="s">
        <v>35</v>
      </c>
      <c r="E88" s="4" t="s">
        <v>16</v>
      </c>
      <c r="F88" s="199">
        <v>0.83333333333333337</v>
      </c>
      <c r="G88" s="198">
        <v>0.91666666666666663</v>
      </c>
      <c r="H88" s="207">
        <f t="shared" si="1"/>
        <v>8.3333333333333259E-2</v>
      </c>
      <c r="I88" s="14"/>
    </row>
    <row r="89" spans="1:9" x14ac:dyDescent="0.25">
      <c r="A89" s="187">
        <v>6</v>
      </c>
      <c r="B89" s="94" t="s">
        <v>64</v>
      </c>
      <c r="C89" s="95" t="s">
        <v>7</v>
      </c>
      <c r="D89" s="100" t="s">
        <v>1</v>
      </c>
      <c r="E89" s="185" t="s">
        <v>22</v>
      </c>
      <c r="F89" s="202">
        <v>0.58333333333333337</v>
      </c>
      <c r="G89" s="201">
        <v>0.66666666666666663</v>
      </c>
      <c r="H89" s="207">
        <f t="shared" si="1"/>
        <v>8.3333333333333259E-2</v>
      </c>
      <c r="I89" s="14"/>
    </row>
    <row r="90" spans="1:9" x14ac:dyDescent="0.25">
      <c r="A90" s="187">
        <v>6</v>
      </c>
      <c r="B90" s="94" t="s">
        <v>64</v>
      </c>
      <c r="C90" s="95" t="s">
        <v>7</v>
      </c>
      <c r="D90" s="100" t="s">
        <v>5</v>
      </c>
      <c r="E90" s="185" t="s">
        <v>22</v>
      </c>
      <c r="F90" s="199">
        <v>0.66666666666666663</v>
      </c>
      <c r="G90" s="198">
        <v>0.75</v>
      </c>
      <c r="H90" s="207">
        <f t="shared" si="1"/>
        <v>8.333333333333337E-2</v>
      </c>
      <c r="I90" s="14"/>
    </row>
    <row r="91" spans="1:9" x14ac:dyDescent="0.25">
      <c r="A91" s="181">
        <v>6</v>
      </c>
      <c r="B91" s="182" t="s">
        <v>60</v>
      </c>
      <c r="C91" s="95" t="s">
        <v>8</v>
      </c>
      <c r="D91" s="100" t="s">
        <v>1</v>
      </c>
      <c r="E91" s="195" t="s">
        <v>14</v>
      </c>
      <c r="F91" s="203">
        <v>0.58333333333333337</v>
      </c>
      <c r="G91" s="209">
        <v>0.66666666666666663</v>
      </c>
      <c r="H91" s="207">
        <f t="shared" si="1"/>
        <v>8.3333333333333259E-2</v>
      </c>
      <c r="I91" s="14"/>
    </row>
    <row r="92" spans="1:9" x14ac:dyDescent="0.25">
      <c r="A92" s="181">
        <v>6</v>
      </c>
      <c r="B92" s="182" t="s">
        <v>60</v>
      </c>
      <c r="C92" s="95" t="s">
        <v>8</v>
      </c>
      <c r="D92" s="100" t="s">
        <v>35</v>
      </c>
      <c r="E92" s="195" t="s">
        <v>14</v>
      </c>
      <c r="F92" s="199">
        <v>0.66666666666666663</v>
      </c>
      <c r="G92" s="198">
        <v>0.75</v>
      </c>
      <c r="H92" s="207">
        <f t="shared" si="1"/>
        <v>8.333333333333337E-2</v>
      </c>
      <c r="I92" s="14"/>
    </row>
    <row r="93" spans="1:9" x14ac:dyDescent="0.25">
      <c r="A93" s="181">
        <v>6</v>
      </c>
      <c r="B93" s="182" t="s">
        <v>63</v>
      </c>
      <c r="C93" s="95" t="s">
        <v>8</v>
      </c>
      <c r="D93" s="100" t="s">
        <v>1</v>
      </c>
      <c r="E93" s="4" t="s">
        <v>15</v>
      </c>
      <c r="F93" s="200">
        <v>0.58333333333333337</v>
      </c>
      <c r="G93" s="184">
        <v>0.66666666666666663</v>
      </c>
      <c r="H93" s="207">
        <f t="shared" si="1"/>
        <v>8.3333333333333259E-2</v>
      </c>
      <c r="I93" s="14"/>
    </row>
    <row r="94" spans="1:9" x14ac:dyDescent="0.25">
      <c r="A94" s="181">
        <v>6</v>
      </c>
      <c r="B94" s="182" t="s">
        <v>63</v>
      </c>
      <c r="C94" s="95" t="s">
        <v>8</v>
      </c>
      <c r="D94" s="100" t="s">
        <v>5</v>
      </c>
      <c r="E94" s="4" t="s">
        <v>15</v>
      </c>
      <c r="F94" s="200">
        <v>0.66666666666666663</v>
      </c>
      <c r="G94" s="184">
        <v>0.75</v>
      </c>
      <c r="H94" s="207">
        <f t="shared" si="1"/>
        <v>8.333333333333337E-2</v>
      </c>
      <c r="I94" s="14"/>
    </row>
    <row r="95" spans="1:9" x14ac:dyDescent="0.25">
      <c r="A95" s="181">
        <v>6</v>
      </c>
      <c r="B95" s="182" t="s">
        <v>59</v>
      </c>
      <c r="C95" s="95" t="s">
        <v>8</v>
      </c>
      <c r="D95" s="100" t="s">
        <v>1</v>
      </c>
      <c r="E95" s="4" t="s">
        <v>16</v>
      </c>
      <c r="F95" s="200">
        <v>0.75</v>
      </c>
      <c r="G95" s="184">
        <v>0.83333333333333337</v>
      </c>
      <c r="H95" s="207">
        <f t="shared" si="1"/>
        <v>8.333333333333337E-2</v>
      </c>
      <c r="I95" s="14"/>
    </row>
    <row r="96" spans="1:9" x14ac:dyDescent="0.25">
      <c r="A96" s="181">
        <v>6</v>
      </c>
      <c r="B96" s="182" t="s">
        <v>61</v>
      </c>
      <c r="C96" s="95" t="s">
        <v>8</v>
      </c>
      <c r="D96" s="100" t="s">
        <v>1</v>
      </c>
      <c r="E96" s="4" t="s">
        <v>16</v>
      </c>
      <c r="F96" s="204">
        <v>0.75</v>
      </c>
      <c r="G96" s="184">
        <v>0.83333333333333337</v>
      </c>
      <c r="H96" s="207">
        <f t="shared" si="1"/>
        <v>8.333333333333337E-2</v>
      </c>
      <c r="I96" s="14"/>
    </row>
    <row r="97" spans="1:9" x14ac:dyDescent="0.25">
      <c r="A97" s="181">
        <v>6</v>
      </c>
      <c r="B97" s="182" t="s">
        <v>59</v>
      </c>
      <c r="C97" s="95" t="s">
        <v>8</v>
      </c>
      <c r="D97" s="100" t="s">
        <v>35</v>
      </c>
      <c r="E97" s="4" t="s">
        <v>16</v>
      </c>
      <c r="F97" s="200">
        <v>0.83333333333333337</v>
      </c>
      <c r="G97" s="184">
        <v>0.91666666666666663</v>
      </c>
      <c r="H97" s="207">
        <f t="shared" si="1"/>
        <v>8.3333333333333259E-2</v>
      </c>
      <c r="I97" s="14"/>
    </row>
    <row r="98" spans="1:9" x14ac:dyDescent="0.25">
      <c r="A98" s="26">
        <v>6</v>
      </c>
      <c r="B98" s="27" t="s">
        <v>61</v>
      </c>
      <c r="C98" s="17" t="s">
        <v>8</v>
      </c>
      <c r="D98" s="18" t="s">
        <v>35</v>
      </c>
      <c r="E98" s="19" t="s">
        <v>16</v>
      </c>
      <c r="F98" s="21">
        <v>0.83333333333333337</v>
      </c>
      <c r="G98" s="23">
        <v>0.91666666666666663</v>
      </c>
      <c r="H98" s="207">
        <f t="shared" si="1"/>
        <v>8.3333333333333259E-2</v>
      </c>
      <c r="I98" s="14"/>
    </row>
    <row r="99" spans="1:9" s="303" customFormat="1" x14ac:dyDescent="0.25">
      <c r="A99" s="255">
        <v>7</v>
      </c>
      <c r="B99" s="256" t="s">
        <v>71</v>
      </c>
      <c r="C99" s="177" t="s">
        <v>4</v>
      </c>
      <c r="D99" s="2" t="s">
        <v>102</v>
      </c>
      <c r="E99" s="239" t="s">
        <v>13</v>
      </c>
      <c r="F99" s="240">
        <v>0.58333333333333337</v>
      </c>
      <c r="G99" s="241">
        <v>0.66666666666666663</v>
      </c>
      <c r="H99" s="207">
        <f t="shared" ref="H99:H112" si="2">G99-F99</f>
        <v>8.3333333333333259E-2</v>
      </c>
      <c r="I99" s="302"/>
    </row>
    <row r="100" spans="1:9" s="303" customFormat="1" x14ac:dyDescent="0.25">
      <c r="A100" s="255">
        <v>7</v>
      </c>
      <c r="B100" s="256" t="s">
        <v>71</v>
      </c>
      <c r="C100" s="177" t="s">
        <v>4</v>
      </c>
      <c r="D100" s="2" t="s">
        <v>104</v>
      </c>
      <c r="E100" s="239" t="s">
        <v>13</v>
      </c>
      <c r="F100" s="240">
        <v>0.66666666666666663</v>
      </c>
      <c r="G100" s="241">
        <v>0.75</v>
      </c>
      <c r="H100" s="207">
        <f t="shared" si="2"/>
        <v>8.333333333333337E-2</v>
      </c>
      <c r="I100" s="302"/>
    </row>
    <row r="101" spans="1:9" s="303" customFormat="1" x14ac:dyDescent="0.25">
      <c r="A101" s="255">
        <v>7</v>
      </c>
      <c r="B101" s="256" t="s">
        <v>69</v>
      </c>
      <c r="C101" s="177" t="s">
        <v>4</v>
      </c>
      <c r="D101" s="2" t="s">
        <v>102</v>
      </c>
      <c r="E101" s="239" t="s">
        <v>13</v>
      </c>
      <c r="F101" s="240">
        <v>0.75</v>
      </c>
      <c r="G101" s="241">
        <v>0.83333333333333337</v>
      </c>
      <c r="H101" s="207">
        <f t="shared" si="2"/>
        <v>8.333333333333337E-2</v>
      </c>
      <c r="I101" s="302"/>
    </row>
    <row r="102" spans="1:9" s="303" customFormat="1" x14ac:dyDescent="0.25">
      <c r="A102" s="255">
        <v>7</v>
      </c>
      <c r="B102" s="256" t="s">
        <v>69</v>
      </c>
      <c r="C102" s="177" t="s">
        <v>4</v>
      </c>
      <c r="D102" s="2" t="s">
        <v>104</v>
      </c>
      <c r="E102" s="239" t="s">
        <v>13</v>
      </c>
      <c r="F102" s="240">
        <v>0.83333333333333337</v>
      </c>
      <c r="G102" s="241">
        <v>0.91666666666666663</v>
      </c>
      <c r="H102" s="207">
        <f t="shared" si="2"/>
        <v>8.3333333333333259E-2</v>
      </c>
      <c r="I102" s="302"/>
    </row>
    <row r="103" spans="1:9" s="303" customFormat="1" x14ac:dyDescent="0.25">
      <c r="A103" s="255">
        <v>7</v>
      </c>
      <c r="B103" s="256" t="s">
        <v>70</v>
      </c>
      <c r="C103" s="177" t="s">
        <v>4</v>
      </c>
      <c r="D103" s="2" t="s">
        <v>102</v>
      </c>
      <c r="E103" s="242" t="s">
        <v>14</v>
      </c>
      <c r="F103" s="240">
        <v>0.75</v>
      </c>
      <c r="G103" s="241">
        <v>0.83333333333333337</v>
      </c>
      <c r="H103" s="207">
        <f t="shared" si="2"/>
        <v>8.333333333333337E-2</v>
      </c>
      <c r="I103" s="302"/>
    </row>
    <row r="104" spans="1:9" s="303" customFormat="1" x14ac:dyDescent="0.25">
      <c r="A104" s="255">
        <v>7</v>
      </c>
      <c r="B104" s="256" t="s">
        <v>70</v>
      </c>
      <c r="C104" s="177" t="s">
        <v>4</v>
      </c>
      <c r="D104" s="2" t="s">
        <v>104</v>
      </c>
      <c r="E104" s="242" t="s">
        <v>14</v>
      </c>
      <c r="F104" s="240">
        <v>0.83333333333333337</v>
      </c>
      <c r="G104" s="241">
        <v>0.91666666666666663</v>
      </c>
      <c r="H104" s="207">
        <f t="shared" si="2"/>
        <v>8.3333333333333259E-2</v>
      </c>
      <c r="I104" s="302"/>
    </row>
    <row r="105" spans="1:9" s="303" customFormat="1" x14ac:dyDescent="0.25">
      <c r="A105" s="255">
        <v>7</v>
      </c>
      <c r="B105" s="256" t="s">
        <v>68</v>
      </c>
      <c r="C105" s="177" t="s">
        <v>4</v>
      </c>
      <c r="D105" s="2" t="s">
        <v>102</v>
      </c>
      <c r="E105" s="242" t="s">
        <v>15</v>
      </c>
      <c r="F105" s="240">
        <v>0.75</v>
      </c>
      <c r="G105" s="241">
        <v>0.83333333333333337</v>
      </c>
      <c r="H105" s="207">
        <f t="shared" si="2"/>
        <v>8.333333333333337E-2</v>
      </c>
      <c r="I105" s="302"/>
    </row>
    <row r="106" spans="1:9" s="303" customFormat="1" x14ac:dyDescent="0.25">
      <c r="A106" s="255">
        <v>7</v>
      </c>
      <c r="B106" s="256" t="s">
        <v>68</v>
      </c>
      <c r="C106" s="177" t="s">
        <v>4</v>
      </c>
      <c r="D106" s="2" t="s">
        <v>104</v>
      </c>
      <c r="E106" s="242" t="s">
        <v>15</v>
      </c>
      <c r="F106" s="243">
        <v>0.83333333333333337</v>
      </c>
      <c r="G106" s="244">
        <v>0.91666666666666663</v>
      </c>
      <c r="H106" s="207">
        <f t="shared" si="2"/>
        <v>8.3333333333333259E-2</v>
      </c>
      <c r="I106" s="302"/>
    </row>
    <row r="107" spans="1:9" s="303" customFormat="1" x14ac:dyDescent="0.25">
      <c r="A107" s="255">
        <v>7</v>
      </c>
      <c r="B107" s="256" t="s">
        <v>72</v>
      </c>
      <c r="C107" s="177" t="s">
        <v>4</v>
      </c>
      <c r="D107" s="2" t="s">
        <v>102</v>
      </c>
      <c r="E107" s="242" t="s">
        <v>16</v>
      </c>
      <c r="F107" s="240">
        <v>0.58333333333333337</v>
      </c>
      <c r="G107" s="241">
        <v>0.66666666666666663</v>
      </c>
      <c r="H107" s="207">
        <f t="shared" si="2"/>
        <v>8.3333333333333259E-2</v>
      </c>
      <c r="I107" s="302"/>
    </row>
    <row r="108" spans="1:9" s="303" customFormat="1" x14ac:dyDescent="0.25">
      <c r="A108" s="255">
        <v>7</v>
      </c>
      <c r="B108" s="256" t="s">
        <v>72</v>
      </c>
      <c r="C108" s="177" t="s">
        <v>4</v>
      </c>
      <c r="D108" s="2" t="s">
        <v>104</v>
      </c>
      <c r="E108" s="242" t="s">
        <v>16</v>
      </c>
      <c r="F108" s="243">
        <v>0.66666666666666663</v>
      </c>
      <c r="G108" s="244">
        <v>0.75</v>
      </c>
      <c r="H108" s="207">
        <f t="shared" si="2"/>
        <v>8.333333333333337E-2</v>
      </c>
      <c r="I108" s="302"/>
    </row>
    <row r="109" spans="1:9" s="303" customFormat="1" x14ac:dyDescent="0.25">
      <c r="A109" s="255">
        <v>7</v>
      </c>
      <c r="B109" s="256" t="s">
        <v>67</v>
      </c>
      <c r="C109" s="177" t="s">
        <v>4</v>
      </c>
      <c r="D109" s="2" t="s">
        <v>102</v>
      </c>
      <c r="E109" s="242" t="s">
        <v>16</v>
      </c>
      <c r="F109" s="245">
        <v>0.75</v>
      </c>
      <c r="G109" s="246">
        <v>0.83333333333333337</v>
      </c>
      <c r="H109" s="207">
        <f t="shared" si="2"/>
        <v>8.333333333333337E-2</v>
      </c>
      <c r="I109" s="302"/>
    </row>
    <row r="110" spans="1:9" s="303" customFormat="1" x14ac:dyDescent="0.25">
      <c r="A110" s="255">
        <v>7</v>
      </c>
      <c r="B110" s="256" t="s">
        <v>67</v>
      </c>
      <c r="C110" s="177" t="s">
        <v>4</v>
      </c>
      <c r="D110" s="2" t="s">
        <v>103</v>
      </c>
      <c r="E110" s="242" t="s">
        <v>16</v>
      </c>
      <c r="F110" s="245">
        <v>0.83333333333333337</v>
      </c>
      <c r="G110" s="246">
        <v>0.91666666666666663</v>
      </c>
      <c r="H110" s="207">
        <f t="shared" si="2"/>
        <v>8.3333333333333259E-2</v>
      </c>
      <c r="I110" s="302"/>
    </row>
    <row r="111" spans="1:9" s="303" customFormat="1" x14ac:dyDescent="0.25">
      <c r="A111" s="255">
        <v>7</v>
      </c>
      <c r="B111" s="256" t="s">
        <v>66</v>
      </c>
      <c r="C111" s="177" t="s">
        <v>4</v>
      </c>
      <c r="D111" s="2" t="s">
        <v>102</v>
      </c>
      <c r="E111" s="242" t="s">
        <v>17</v>
      </c>
      <c r="F111" s="245">
        <v>0.70833333333333337</v>
      </c>
      <c r="G111" s="246">
        <v>0.75</v>
      </c>
      <c r="H111" s="207">
        <f t="shared" si="2"/>
        <v>4.166666666666663E-2</v>
      </c>
      <c r="I111" s="302"/>
    </row>
    <row r="112" spans="1:9" s="303" customFormat="1" x14ac:dyDescent="0.25">
      <c r="A112" s="253">
        <v>7</v>
      </c>
      <c r="B112" s="254" t="s">
        <v>66</v>
      </c>
      <c r="C112" s="17" t="s">
        <v>4</v>
      </c>
      <c r="D112" s="224" t="s">
        <v>104</v>
      </c>
      <c r="E112" s="225" t="s">
        <v>17</v>
      </c>
      <c r="F112" s="226">
        <v>0.75</v>
      </c>
      <c r="G112" s="227">
        <v>0.91666666666666663</v>
      </c>
      <c r="H112" s="207">
        <f t="shared" si="2"/>
        <v>0.16666666666666663</v>
      </c>
      <c r="I112" s="302"/>
    </row>
    <row r="113" spans="1:9" s="303" customFormat="1" x14ac:dyDescent="0.25">
      <c r="A113" s="249">
        <v>7</v>
      </c>
      <c r="B113" s="251" t="s">
        <v>68</v>
      </c>
      <c r="C113" s="172" t="s">
        <v>6</v>
      </c>
      <c r="D113" s="234" t="s">
        <v>102</v>
      </c>
      <c r="E113" s="234" t="s">
        <v>14</v>
      </c>
      <c r="F113" s="235">
        <v>0.75</v>
      </c>
      <c r="G113" s="236">
        <v>0.83333333333333337</v>
      </c>
      <c r="H113" s="228">
        <f t="shared" si="1"/>
        <v>8.333333333333337E-2</v>
      </c>
      <c r="I113" s="302"/>
    </row>
    <row r="114" spans="1:9" s="303" customFormat="1" x14ac:dyDescent="0.25">
      <c r="A114" s="249">
        <v>7</v>
      </c>
      <c r="B114" s="251" t="s">
        <v>68</v>
      </c>
      <c r="C114" s="172" t="s">
        <v>6</v>
      </c>
      <c r="D114" s="234" t="s">
        <v>104</v>
      </c>
      <c r="E114" s="234" t="s">
        <v>14</v>
      </c>
      <c r="F114" s="235">
        <v>0.83333333333333337</v>
      </c>
      <c r="G114" s="236">
        <v>0.91666666666666663</v>
      </c>
      <c r="H114" s="228">
        <f t="shared" si="1"/>
        <v>8.3333333333333259E-2</v>
      </c>
      <c r="I114" s="302"/>
    </row>
    <row r="115" spans="1:9" s="303" customFormat="1" x14ac:dyDescent="0.25">
      <c r="A115" s="249">
        <v>7</v>
      </c>
      <c r="B115" s="251" t="s">
        <v>69</v>
      </c>
      <c r="C115" s="172" t="s">
        <v>6</v>
      </c>
      <c r="D115" s="234" t="s">
        <v>102</v>
      </c>
      <c r="E115" s="231" t="s">
        <v>15</v>
      </c>
      <c r="F115" s="232">
        <v>0.75</v>
      </c>
      <c r="G115" s="233">
        <v>0.83333333333333337</v>
      </c>
      <c r="H115" s="228">
        <f t="shared" si="1"/>
        <v>8.333333333333337E-2</v>
      </c>
      <c r="I115" s="302"/>
    </row>
    <row r="116" spans="1:9" s="303" customFormat="1" x14ac:dyDescent="0.25">
      <c r="A116" s="249">
        <v>7</v>
      </c>
      <c r="B116" s="251" t="s">
        <v>69</v>
      </c>
      <c r="C116" s="172" t="s">
        <v>6</v>
      </c>
      <c r="D116" s="234" t="s">
        <v>104</v>
      </c>
      <c r="E116" s="231" t="s">
        <v>15</v>
      </c>
      <c r="F116" s="232">
        <v>0.83333333333333337</v>
      </c>
      <c r="G116" s="233">
        <v>0.91666666666666663</v>
      </c>
      <c r="H116" s="228">
        <f t="shared" si="1"/>
        <v>8.3333333333333259E-2</v>
      </c>
      <c r="I116" s="302"/>
    </row>
    <row r="117" spans="1:9" s="303" customFormat="1" x14ac:dyDescent="0.25">
      <c r="A117" s="249">
        <v>7</v>
      </c>
      <c r="B117" s="251" t="s">
        <v>72</v>
      </c>
      <c r="C117" s="172" t="s">
        <v>6</v>
      </c>
      <c r="D117" s="234" t="s">
        <v>102</v>
      </c>
      <c r="E117" s="234" t="s">
        <v>16</v>
      </c>
      <c r="F117" s="232">
        <v>0.75</v>
      </c>
      <c r="G117" s="233">
        <v>0.83333333333333337</v>
      </c>
      <c r="H117" s="228">
        <f t="shared" si="1"/>
        <v>8.333333333333337E-2</v>
      </c>
      <c r="I117" s="302"/>
    </row>
    <row r="118" spans="1:9" s="303" customFormat="1" x14ac:dyDescent="0.25">
      <c r="A118" s="249">
        <v>7</v>
      </c>
      <c r="B118" s="251" t="s">
        <v>72</v>
      </c>
      <c r="C118" s="172" t="s">
        <v>6</v>
      </c>
      <c r="D118" s="234" t="s">
        <v>104</v>
      </c>
      <c r="E118" s="234" t="s">
        <v>16</v>
      </c>
      <c r="F118" s="235">
        <v>0.83333333333333337</v>
      </c>
      <c r="G118" s="236">
        <v>0.91666666666666663</v>
      </c>
      <c r="H118" s="228">
        <f t="shared" si="1"/>
        <v>8.3333333333333259E-2</v>
      </c>
      <c r="I118" s="302"/>
    </row>
    <row r="119" spans="1:9" s="303" customFormat="1" x14ac:dyDescent="0.25">
      <c r="A119" s="249">
        <v>7</v>
      </c>
      <c r="B119" s="251" t="s">
        <v>71</v>
      </c>
      <c r="C119" s="172" t="s">
        <v>6</v>
      </c>
      <c r="D119" s="252" t="s">
        <v>102</v>
      </c>
      <c r="E119" s="234" t="s">
        <v>13</v>
      </c>
      <c r="F119" s="237">
        <v>0.70833333333333337</v>
      </c>
      <c r="G119" s="238">
        <v>0.79166666666666663</v>
      </c>
      <c r="H119" s="228">
        <f t="shared" si="1"/>
        <v>8.3333333333333259E-2</v>
      </c>
      <c r="I119" s="302"/>
    </row>
    <row r="120" spans="1:9" s="303" customFormat="1" x14ac:dyDescent="0.25">
      <c r="A120" s="249">
        <v>7</v>
      </c>
      <c r="B120" s="251" t="s">
        <v>71</v>
      </c>
      <c r="C120" s="172" t="s">
        <v>6</v>
      </c>
      <c r="D120" s="252" t="s">
        <v>104</v>
      </c>
      <c r="E120" s="234" t="s">
        <v>13</v>
      </c>
      <c r="F120" s="298">
        <v>0.79166666666666663</v>
      </c>
      <c r="G120" s="300">
        <v>0.91666666666666663</v>
      </c>
      <c r="H120" s="228">
        <f t="shared" si="1"/>
        <v>0.125</v>
      </c>
      <c r="I120" s="302"/>
    </row>
    <row r="121" spans="1:9" s="303" customFormat="1" x14ac:dyDescent="0.25">
      <c r="A121" s="249">
        <v>7</v>
      </c>
      <c r="B121" s="251" t="s">
        <v>66</v>
      </c>
      <c r="C121" s="172" t="s">
        <v>6</v>
      </c>
      <c r="D121" s="252" t="s">
        <v>102</v>
      </c>
      <c r="E121" s="234" t="s">
        <v>17</v>
      </c>
      <c r="F121" s="237">
        <v>0.70833333333333337</v>
      </c>
      <c r="G121" s="238">
        <v>0.79166666666666663</v>
      </c>
      <c r="H121" s="228">
        <f t="shared" si="1"/>
        <v>8.3333333333333259E-2</v>
      </c>
      <c r="I121" s="302"/>
    </row>
    <row r="122" spans="1:9" s="303" customFormat="1" x14ac:dyDescent="0.25">
      <c r="A122" s="249">
        <v>7</v>
      </c>
      <c r="B122" s="251" t="s">
        <v>66</v>
      </c>
      <c r="C122" s="172" t="s">
        <v>6</v>
      </c>
      <c r="D122" s="252" t="s">
        <v>104</v>
      </c>
      <c r="E122" s="234" t="s">
        <v>17</v>
      </c>
      <c r="F122" s="298">
        <v>0.79166666666666663</v>
      </c>
      <c r="G122" s="300">
        <v>0.91666666666666663</v>
      </c>
      <c r="H122" s="228">
        <f t="shared" si="1"/>
        <v>0.125</v>
      </c>
      <c r="I122" s="302"/>
    </row>
    <row r="123" spans="1:9" s="303" customFormat="1" x14ac:dyDescent="0.25">
      <c r="A123" s="247">
        <v>8</v>
      </c>
      <c r="B123" s="248" t="s">
        <v>73</v>
      </c>
      <c r="C123" s="172" t="s">
        <v>4</v>
      </c>
      <c r="D123" s="9" t="s">
        <v>102</v>
      </c>
      <c r="E123" s="234" t="s">
        <v>16</v>
      </c>
      <c r="F123" s="232">
        <v>0.75</v>
      </c>
      <c r="G123" s="233">
        <v>0.83333333333333337</v>
      </c>
      <c r="H123" s="228">
        <f t="shared" ref="H123:H154" si="3">G123-F123</f>
        <v>8.333333333333337E-2</v>
      </c>
      <c r="I123" s="302"/>
    </row>
    <row r="124" spans="1:9" s="303" customFormat="1" x14ac:dyDescent="0.25">
      <c r="A124" s="247">
        <v>8</v>
      </c>
      <c r="B124" s="248" t="s">
        <v>73</v>
      </c>
      <c r="C124" s="172" t="s">
        <v>4</v>
      </c>
      <c r="D124" s="271" t="s">
        <v>104</v>
      </c>
      <c r="E124" s="234" t="s">
        <v>16</v>
      </c>
      <c r="F124" s="232">
        <v>0.83333333333333337</v>
      </c>
      <c r="G124" s="233">
        <v>0.91666666666666663</v>
      </c>
      <c r="H124" s="228">
        <f t="shared" si="3"/>
        <v>8.3333333333333259E-2</v>
      </c>
      <c r="I124" s="302"/>
    </row>
    <row r="125" spans="1:9" s="303" customFormat="1" x14ac:dyDescent="0.25">
      <c r="A125" s="249">
        <v>8</v>
      </c>
      <c r="B125" s="250" t="s">
        <v>74</v>
      </c>
      <c r="C125" s="172" t="s">
        <v>4</v>
      </c>
      <c r="D125" s="271" t="s">
        <v>102</v>
      </c>
      <c r="E125" s="234" t="s">
        <v>13</v>
      </c>
      <c r="F125" s="232">
        <v>0.70833333333333337</v>
      </c>
      <c r="G125" s="233">
        <v>0.75</v>
      </c>
      <c r="H125" s="228">
        <f t="shared" si="3"/>
        <v>4.166666666666663E-2</v>
      </c>
      <c r="I125" s="302"/>
    </row>
    <row r="126" spans="1:9" s="303" customFormat="1" x14ac:dyDescent="0.25">
      <c r="A126" s="249">
        <v>8</v>
      </c>
      <c r="B126" s="250" t="s">
        <v>74</v>
      </c>
      <c r="C126" s="172" t="s">
        <v>4</v>
      </c>
      <c r="D126" s="9" t="s">
        <v>104</v>
      </c>
      <c r="E126" s="234" t="s">
        <v>13</v>
      </c>
      <c r="F126" s="232">
        <v>0.75</v>
      </c>
      <c r="G126" s="233">
        <v>0.91666666666666663</v>
      </c>
      <c r="H126" s="228">
        <f t="shared" si="3"/>
        <v>0.16666666666666663</v>
      </c>
      <c r="I126" s="302"/>
    </row>
    <row r="127" spans="1:9" s="303" customFormat="1" x14ac:dyDescent="0.25">
      <c r="A127" s="249">
        <v>8</v>
      </c>
      <c r="B127" s="251" t="s">
        <v>75</v>
      </c>
      <c r="C127" s="172" t="s">
        <v>4</v>
      </c>
      <c r="D127" s="271" t="s">
        <v>102</v>
      </c>
      <c r="E127" s="234" t="s">
        <v>15</v>
      </c>
      <c r="F127" s="232">
        <v>0.79166666666666663</v>
      </c>
      <c r="G127" s="233">
        <v>0.91666666666666663</v>
      </c>
      <c r="H127" s="228">
        <f t="shared" si="3"/>
        <v>0.125</v>
      </c>
      <c r="I127" s="302"/>
    </row>
    <row r="128" spans="1:9" s="303" customFormat="1" x14ac:dyDescent="0.25">
      <c r="A128" s="249">
        <v>8</v>
      </c>
      <c r="B128" s="251" t="s">
        <v>76</v>
      </c>
      <c r="C128" s="172" t="s">
        <v>4</v>
      </c>
      <c r="D128" s="271" t="s">
        <v>102</v>
      </c>
      <c r="E128" s="234" t="s">
        <v>15</v>
      </c>
      <c r="F128" s="232">
        <v>0.58333333333333337</v>
      </c>
      <c r="G128" s="233">
        <v>0.70833333333333337</v>
      </c>
      <c r="H128" s="228">
        <f t="shared" si="3"/>
        <v>0.125</v>
      </c>
      <c r="I128" s="302"/>
    </row>
    <row r="129" spans="1:9" s="303" customFormat="1" x14ac:dyDescent="0.25">
      <c r="A129" s="249">
        <v>8</v>
      </c>
      <c r="B129" s="251" t="s">
        <v>76</v>
      </c>
      <c r="C129" s="172" t="s">
        <v>4</v>
      </c>
      <c r="D129" s="9" t="s">
        <v>104</v>
      </c>
      <c r="E129" s="234" t="s">
        <v>15</v>
      </c>
      <c r="F129" s="235">
        <v>0.70833333333333337</v>
      </c>
      <c r="G129" s="236">
        <v>0.79166666666666663</v>
      </c>
      <c r="H129" s="228">
        <f t="shared" si="3"/>
        <v>8.3333333333333259E-2</v>
      </c>
      <c r="I129" s="302"/>
    </row>
    <row r="130" spans="1:9" s="303" customFormat="1" x14ac:dyDescent="0.25">
      <c r="A130" s="249">
        <v>8</v>
      </c>
      <c r="B130" s="251" t="s">
        <v>77</v>
      </c>
      <c r="C130" s="172" t="s">
        <v>4</v>
      </c>
      <c r="D130" s="271" t="s">
        <v>102</v>
      </c>
      <c r="E130" s="234" t="s">
        <v>17</v>
      </c>
      <c r="F130" s="235">
        <v>0.75</v>
      </c>
      <c r="G130" s="236">
        <v>0.875</v>
      </c>
      <c r="H130" s="228">
        <f t="shared" si="3"/>
        <v>0.125</v>
      </c>
      <c r="I130" s="302"/>
    </row>
    <row r="131" spans="1:9" s="303" customFormat="1" x14ac:dyDescent="0.25">
      <c r="A131" s="249">
        <v>8</v>
      </c>
      <c r="B131" s="251" t="s">
        <v>78</v>
      </c>
      <c r="C131" s="172" t="s">
        <v>4</v>
      </c>
      <c r="D131" s="9" t="s">
        <v>102</v>
      </c>
      <c r="E131" s="234" t="s">
        <v>17</v>
      </c>
      <c r="F131" s="298">
        <v>0.66666666666666663</v>
      </c>
      <c r="G131" s="300">
        <v>0.79166666666666663</v>
      </c>
      <c r="H131" s="228">
        <f t="shared" si="3"/>
        <v>0.125</v>
      </c>
      <c r="I131" s="302"/>
    </row>
    <row r="132" spans="1:9" s="303" customFormat="1" x14ac:dyDescent="0.25">
      <c r="A132" s="249">
        <v>8</v>
      </c>
      <c r="B132" s="251" t="s">
        <v>79</v>
      </c>
      <c r="C132" s="172" t="s">
        <v>4</v>
      </c>
      <c r="D132" s="296" t="s">
        <v>102</v>
      </c>
      <c r="E132" s="252" t="s">
        <v>14</v>
      </c>
      <c r="F132" s="297">
        <v>0.75</v>
      </c>
      <c r="G132" s="299">
        <v>0.83333333333333337</v>
      </c>
      <c r="H132" s="228">
        <f t="shared" si="3"/>
        <v>8.333333333333337E-2</v>
      </c>
      <c r="I132" s="302"/>
    </row>
    <row r="133" spans="1:9" s="303" customFormat="1" x14ac:dyDescent="0.25">
      <c r="A133" s="249">
        <v>8</v>
      </c>
      <c r="B133" s="251" t="s">
        <v>79</v>
      </c>
      <c r="C133" s="172" t="s">
        <v>4</v>
      </c>
      <c r="D133" s="296" t="s">
        <v>102</v>
      </c>
      <c r="E133" s="252" t="s">
        <v>14</v>
      </c>
      <c r="F133" s="297">
        <v>0.83333333333333337</v>
      </c>
      <c r="G133" s="299">
        <v>0.91666666666666663</v>
      </c>
      <c r="H133" s="228">
        <f t="shared" si="3"/>
        <v>8.3333333333333259E-2</v>
      </c>
      <c r="I133" s="302"/>
    </row>
    <row r="134" spans="1:9" s="303" customFormat="1" x14ac:dyDescent="0.25">
      <c r="A134" s="259">
        <v>8</v>
      </c>
      <c r="B134" s="8" t="s">
        <v>73</v>
      </c>
      <c r="C134" s="177" t="s">
        <v>6</v>
      </c>
      <c r="D134" s="257" t="s">
        <v>102</v>
      </c>
      <c r="E134" s="242" t="s">
        <v>13</v>
      </c>
      <c r="F134" s="240">
        <v>0.75</v>
      </c>
      <c r="G134" s="241">
        <v>0.83333333333333337</v>
      </c>
      <c r="H134" s="207">
        <f t="shared" si="3"/>
        <v>8.333333333333337E-2</v>
      </c>
      <c r="I134" s="302"/>
    </row>
    <row r="135" spans="1:9" s="303" customFormat="1" x14ac:dyDescent="0.25">
      <c r="A135" s="259">
        <v>8</v>
      </c>
      <c r="B135" s="8" t="s">
        <v>73</v>
      </c>
      <c r="C135" s="177" t="s">
        <v>6</v>
      </c>
      <c r="D135" s="257" t="s">
        <v>104</v>
      </c>
      <c r="E135" s="242" t="s">
        <v>13</v>
      </c>
      <c r="F135" s="240">
        <v>0.83333333333333337</v>
      </c>
      <c r="G135" s="241">
        <v>0.91666666666666663</v>
      </c>
      <c r="H135" s="207">
        <f t="shared" si="3"/>
        <v>8.3333333333333259E-2</v>
      </c>
      <c r="I135" s="302"/>
    </row>
    <row r="136" spans="1:9" s="303" customFormat="1" x14ac:dyDescent="0.25">
      <c r="A136" s="255">
        <v>8</v>
      </c>
      <c r="B136" s="304" t="s">
        <v>74</v>
      </c>
      <c r="C136" s="177" t="s">
        <v>6</v>
      </c>
      <c r="D136" s="257" t="s">
        <v>102</v>
      </c>
      <c r="E136" s="242" t="s">
        <v>16</v>
      </c>
      <c r="F136" s="240">
        <v>0.70833333333333337</v>
      </c>
      <c r="G136" s="241">
        <v>0.75</v>
      </c>
      <c r="H136" s="207">
        <f t="shared" si="3"/>
        <v>4.166666666666663E-2</v>
      </c>
      <c r="I136" s="302"/>
    </row>
    <row r="137" spans="1:9" s="303" customFormat="1" x14ac:dyDescent="0.25">
      <c r="A137" s="255">
        <v>8</v>
      </c>
      <c r="B137" s="304" t="s">
        <v>74</v>
      </c>
      <c r="C137" s="177" t="s">
        <v>6</v>
      </c>
      <c r="D137" s="257" t="s">
        <v>104</v>
      </c>
      <c r="E137" s="242" t="s">
        <v>16</v>
      </c>
      <c r="F137" s="240">
        <v>0.75</v>
      </c>
      <c r="G137" s="241">
        <v>0.91666666666666663</v>
      </c>
      <c r="H137" s="207">
        <f t="shared" si="3"/>
        <v>0.16666666666666663</v>
      </c>
      <c r="I137" s="302"/>
    </row>
    <row r="138" spans="1:9" s="303" customFormat="1" x14ac:dyDescent="0.25">
      <c r="A138" s="255">
        <v>8</v>
      </c>
      <c r="B138" s="256" t="s">
        <v>75</v>
      </c>
      <c r="C138" s="177" t="s">
        <v>6</v>
      </c>
      <c r="D138" s="257" t="s">
        <v>102</v>
      </c>
      <c r="E138" s="242" t="s">
        <v>15</v>
      </c>
      <c r="F138" s="240">
        <v>0.66666666666666663</v>
      </c>
      <c r="G138" s="241">
        <v>0.79166666666666663</v>
      </c>
      <c r="H138" s="207">
        <f t="shared" si="3"/>
        <v>0.125</v>
      </c>
      <c r="I138" s="302"/>
    </row>
    <row r="139" spans="1:9" s="303" customFormat="1" x14ac:dyDescent="0.25">
      <c r="A139" s="255">
        <v>8</v>
      </c>
      <c r="B139" s="256" t="s">
        <v>76</v>
      </c>
      <c r="C139" s="177" t="s">
        <v>6</v>
      </c>
      <c r="D139" s="257" t="s">
        <v>102</v>
      </c>
      <c r="E139" s="242" t="s">
        <v>14</v>
      </c>
      <c r="F139" s="240">
        <v>0.58333333333333337</v>
      </c>
      <c r="G139" s="241">
        <v>0.70833333333333337</v>
      </c>
      <c r="H139" s="207">
        <f t="shared" si="3"/>
        <v>0.125</v>
      </c>
      <c r="I139" s="302"/>
    </row>
    <row r="140" spans="1:9" s="303" customFormat="1" x14ac:dyDescent="0.25">
      <c r="A140" s="255">
        <v>8</v>
      </c>
      <c r="B140" s="256" t="s">
        <v>76</v>
      </c>
      <c r="C140" s="177" t="s">
        <v>6</v>
      </c>
      <c r="D140" s="242" t="s">
        <v>104</v>
      </c>
      <c r="E140" s="242" t="s">
        <v>14</v>
      </c>
      <c r="F140" s="262">
        <v>0.70833333333333337</v>
      </c>
      <c r="G140" s="264">
        <v>0.79166666666666663</v>
      </c>
      <c r="H140" s="207">
        <f t="shared" si="3"/>
        <v>8.3333333333333259E-2</v>
      </c>
      <c r="I140" s="302"/>
    </row>
    <row r="141" spans="1:9" s="303" customFormat="1" x14ac:dyDescent="0.25">
      <c r="A141" s="255">
        <v>8</v>
      </c>
      <c r="B141" s="256" t="s">
        <v>77</v>
      </c>
      <c r="C141" s="177" t="s">
        <v>6</v>
      </c>
      <c r="D141" s="305" t="s">
        <v>102</v>
      </c>
      <c r="E141" s="242" t="s">
        <v>14</v>
      </c>
      <c r="F141" s="306">
        <v>0.79166666666666663</v>
      </c>
      <c r="G141" s="307">
        <v>0.91666666666666663</v>
      </c>
      <c r="H141" s="207">
        <f t="shared" si="3"/>
        <v>0.125</v>
      </c>
      <c r="I141" s="302"/>
    </row>
    <row r="142" spans="1:9" s="303" customFormat="1" x14ac:dyDescent="0.25">
      <c r="A142" s="255">
        <v>8</v>
      </c>
      <c r="B142" s="256" t="s">
        <v>78</v>
      </c>
      <c r="C142" s="177" t="s">
        <v>6</v>
      </c>
      <c r="D142" s="242" t="s">
        <v>102</v>
      </c>
      <c r="E142" s="239" t="s">
        <v>15</v>
      </c>
      <c r="F142" s="241">
        <v>0.79166666666666663</v>
      </c>
      <c r="G142" s="307">
        <v>0.91666666666666663</v>
      </c>
      <c r="H142" s="207">
        <f t="shared" si="3"/>
        <v>0.125</v>
      </c>
      <c r="I142" s="302"/>
    </row>
    <row r="143" spans="1:9" s="303" customFormat="1" x14ac:dyDescent="0.25">
      <c r="A143" s="255">
        <v>8</v>
      </c>
      <c r="B143" s="256" t="s">
        <v>79</v>
      </c>
      <c r="C143" s="177" t="s">
        <v>6</v>
      </c>
      <c r="D143" s="277" t="s">
        <v>102</v>
      </c>
      <c r="E143" s="242" t="s">
        <v>17</v>
      </c>
      <c r="F143" s="260">
        <v>0.75</v>
      </c>
      <c r="G143" s="261">
        <v>0.83333333333333337</v>
      </c>
      <c r="H143" s="207">
        <f t="shared" si="3"/>
        <v>8.333333333333337E-2</v>
      </c>
      <c r="I143" s="302"/>
    </row>
    <row r="144" spans="1:9" s="303" customFormat="1" x14ac:dyDescent="0.25">
      <c r="A144" s="255">
        <v>8</v>
      </c>
      <c r="B144" s="256" t="s">
        <v>79</v>
      </c>
      <c r="C144" s="177" t="s">
        <v>6</v>
      </c>
      <c r="D144" s="2" t="s">
        <v>104</v>
      </c>
      <c r="E144" s="308" t="s">
        <v>17</v>
      </c>
      <c r="F144" s="263">
        <v>0.83333333333333337</v>
      </c>
      <c r="G144" s="265">
        <v>0.91666666666666663</v>
      </c>
      <c r="H144" s="207">
        <f t="shared" si="3"/>
        <v>8.3333333333333259E-2</v>
      </c>
      <c r="I144" s="302"/>
    </row>
    <row r="145" spans="1:9" s="303" customFormat="1" x14ac:dyDescent="0.25">
      <c r="A145" s="309">
        <v>8</v>
      </c>
      <c r="B145" s="310" t="s">
        <v>73</v>
      </c>
      <c r="C145" s="280" t="s">
        <v>7</v>
      </c>
      <c r="D145" s="311" t="s">
        <v>102</v>
      </c>
      <c r="E145" s="312" t="s">
        <v>22</v>
      </c>
      <c r="F145" s="292">
        <v>0.58333333333333337</v>
      </c>
      <c r="G145" s="293">
        <v>0.66666666666666663</v>
      </c>
      <c r="H145" s="282">
        <f t="shared" si="3"/>
        <v>8.3333333333333259E-2</v>
      </c>
      <c r="I145" s="302"/>
    </row>
    <row r="146" spans="1:9" s="303" customFormat="1" x14ac:dyDescent="0.25">
      <c r="A146" s="309">
        <v>8</v>
      </c>
      <c r="B146" s="310" t="s">
        <v>73</v>
      </c>
      <c r="C146" s="280" t="s">
        <v>7</v>
      </c>
      <c r="D146" s="291" t="s">
        <v>104</v>
      </c>
      <c r="E146" s="312" t="s">
        <v>22</v>
      </c>
      <c r="F146" s="292">
        <v>0.66666666666666663</v>
      </c>
      <c r="G146" s="293">
        <v>0.75</v>
      </c>
      <c r="H146" s="282">
        <f t="shared" si="3"/>
        <v>8.333333333333337E-2</v>
      </c>
      <c r="I146" s="302"/>
    </row>
    <row r="147" spans="1:9" s="303" customFormat="1" x14ac:dyDescent="0.25">
      <c r="A147" s="313">
        <v>8</v>
      </c>
      <c r="B147" s="314" t="s">
        <v>74</v>
      </c>
      <c r="C147" s="280" t="s">
        <v>7</v>
      </c>
      <c r="D147" s="291" t="s">
        <v>102</v>
      </c>
      <c r="E147" s="312" t="s">
        <v>22</v>
      </c>
      <c r="F147" s="292">
        <v>0.33333333333333331</v>
      </c>
      <c r="G147" s="293">
        <v>0.41666666666666669</v>
      </c>
      <c r="H147" s="282">
        <f t="shared" si="3"/>
        <v>8.333333333333337E-2</v>
      </c>
      <c r="I147" s="302"/>
    </row>
    <row r="148" spans="1:9" s="303" customFormat="1" x14ac:dyDescent="0.25">
      <c r="A148" s="313">
        <v>8</v>
      </c>
      <c r="B148" s="314" t="s">
        <v>74</v>
      </c>
      <c r="C148" s="280" t="s">
        <v>7</v>
      </c>
      <c r="D148" s="291" t="s">
        <v>104</v>
      </c>
      <c r="E148" s="312" t="s">
        <v>22</v>
      </c>
      <c r="F148" s="292">
        <v>0.41666666666666669</v>
      </c>
      <c r="G148" s="293">
        <v>0.54166666666666663</v>
      </c>
      <c r="H148" s="282">
        <f t="shared" si="3"/>
        <v>0.12499999999999994</v>
      </c>
      <c r="I148" s="302"/>
    </row>
    <row r="149" spans="1:9" s="303" customFormat="1" x14ac:dyDescent="0.25">
      <c r="A149" s="313">
        <v>8</v>
      </c>
      <c r="B149" s="315" t="s">
        <v>75</v>
      </c>
      <c r="C149" s="280" t="s">
        <v>7</v>
      </c>
      <c r="D149" s="291" t="s">
        <v>102</v>
      </c>
      <c r="E149" s="312" t="s">
        <v>17</v>
      </c>
      <c r="F149" s="292">
        <v>0.58333333333333337</v>
      </c>
      <c r="G149" s="293">
        <v>0.70833333333333337</v>
      </c>
      <c r="H149" s="282">
        <f t="shared" si="3"/>
        <v>0.125</v>
      </c>
      <c r="I149" s="302"/>
    </row>
    <row r="150" spans="1:9" s="303" customFormat="1" x14ac:dyDescent="0.25">
      <c r="A150" s="313">
        <v>8</v>
      </c>
      <c r="B150" s="315" t="s">
        <v>76</v>
      </c>
      <c r="C150" s="280" t="s">
        <v>7</v>
      </c>
      <c r="D150" s="311" t="s">
        <v>102</v>
      </c>
      <c r="E150" s="291" t="s">
        <v>14</v>
      </c>
      <c r="F150" s="292">
        <v>0.70833333333333337</v>
      </c>
      <c r="G150" s="293">
        <v>0.83333333333333337</v>
      </c>
      <c r="H150" s="282">
        <f t="shared" si="3"/>
        <v>0.125</v>
      </c>
      <c r="I150" s="302"/>
    </row>
    <row r="151" spans="1:9" s="303" customFormat="1" x14ac:dyDescent="0.25">
      <c r="A151" s="313">
        <v>8</v>
      </c>
      <c r="B151" s="315" t="s">
        <v>76</v>
      </c>
      <c r="C151" s="280" t="s">
        <v>7</v>
      </c>
      <c r="D151" s="311" t="s">
        <v>104</v>
      </c>
      <c r="E151" s="291" t="s">
        <v>14</v>
      </c>
      <c r="F151" s="293">
        <v>0.83333333333333337</v>
      </c>
      <c r="G151" s="293">
        <v>0.91666666666666663</v>
      </c>
      <c r="H151" s="282">
        <f t="shared" si="3"/>
        <v>8.3333333333333259E-2</v>
      </c>
      <c r="I151" s="302"/>
    </row>
    <row r="152" spans="1:9" s="303" customFormat="1" x14ac:dyDescent="0.25">
      <c r="A152" s="313">
        <v>8</v>
      </c>
      <c r="B152" s="315" t="s">
        <v>77</v>
      </c>
      <c r="C152" s="280" t="s">
        <v>7</v>
      </c>
      <c r="D152" s="316" t="s">
        <v>102</v>
      </c>
      <c r="E152" s="317" t="s">
        <v>13</v>
      </c>
      <c r="F152" s="292">
        <v>0.70833333333333337</v>
      </c>
      <c r="G152" s="293">
        <v>0.83333333333333337</v>
      </c>
      <c r="H152" s="282">
        <f t="shared" si="3"/>
        <v>0.125</v>
      </c>
      <c r="I152" s="302"/>
    </row>
    <row r="153" spans="1:9" s="303" customFormat="1" x14ac:dyDescent="0.25">
      <c r="A153" s="313">
        <v>8</v>
      </c>
      <c r="B153" s="315" t="s">
        <v>78</v>
      </c>
      <c r="C153" s="280" t="s">
        <v>7</v>
      </c>
      <c r="D153" s="311" t="s">
        <v>102</v>
      </c>
      <c r="E153" s="291" t="s">
        <v>17</v>
      </c>
      <c r="F153" s="318">
        <v>0.79166666666666663</v>
      </c>
      <c r="G153" s="319">
        <v>0.91666666666666663</v>
      </c>
      <c r="H153" s="282">
        <f t="shared" si="3"/>
        <v>0.125</v>
      </c>
      <c r="I153" s="302"/>
    </row>
    <row r="154" spans="1:9" s="303" customFormat="1" x14ac:dyDescent="0.25">
      <c r="A154" s="313">
        <v>8</v>
      </c>
      <c r="B154" s="315" t="s">
        <v>79</v>
      </c>
      <c r="C154" s="280" t="s">
        <v>7</v>
      </c>
      <c r="D154" s="316" t="s">
        <v>102</v>
      </c>
      <c r="E154" s="291" t="s">
        <v>15</v>
      </c>
      <c r="F154" s="320">
        <v>0.75</v>
      </c>
      <c r="G154" s="321">
        <v>0.83333333333333337</v>
      </c>
      <c r="H154" s="282">
        <f t="shared" si="3"/>
        <v>8.333333333333337E-2</v>
      </c>
      <c r="I154" s="302"/>
    </row>
    <row r="155" spans="1:9" s="303" customFormat="1" x14ac:dyDescent="0.25">
      <c r="A155" s="313">
        <v>8</v>
      </c>
      <c r="B155" s="315" t="s">
        <v>79</v>
      </c>
      <c r="C155" s="280" t="s">
        <v>7</v>
      </c>
      <c r="D155" s="316" t="s">
        <v>104</v>
      </c>
      <c r="E155" s="291" t="s">
        <v>15</v>
      </c>
      <c r="F155" s="320">
        <v>0.83333333333333337</v>
      </c>
      <c r="G155" s="321">
        <v>0.91666666666666663</v>
      </c>
      <c r="H155" s="282">
        <f t="shared" ref="H155:H186" si="4">G155-F155</f>
        <v>8.3333333333333259E-2</v>
      </c>
      <c r="I155" s="302"/>
    </row>
    <row r="156" spans="1:9" s="303" customFormat="1" x14ac:dyDescent="0.25">
      <c r="A156" s="322">
        <v>8</v>
      </c>
      <c r="B156" s="323" t="s">
        <v>77</v>
      </c>
      <c r="C156" s="301" t="s">
        <v>8</v>
      </c>
      <c r="D156" s="316" t="s">
        <v>102</v>
      </c>
      <c r="E156" s="20" t="s">
        <v>15</v>
      </c>
      <c r="F156" s="20">
        <v>0.79166666666666663</v>
      </c>
      <c r="G156" s="21">
        <v>0.91666666666666663</v>
      </c>
      <c r="H156" s="287">
        <f t="shared" si="4"/>
        <v>0.125</v>
      </c>
      <c r="I156" s="302"/>
    </row>
    <row r="157" spans="1:9" s="303" customFormat="1" x14ac:dyDescent="0.25">
      <c r="A157" s="322">
        <v>8</v>
      </c>
      <c r="B157" s="323" t="s">
        <v>77</v>
      </c>
      <c r="C157" s="301" t="s">
        <v>9</v>
      </c>
      <c r="D157" s="316" t="s">
        <v>102</v>
      </c>
      <c r="E157" s="20" t="s">
        <v>14</v>
      </c>
      <c r="F157" s="20">
        <v>0.70833333333333337</v>
      </c>
      <c r="G157" s="21">
        <v>0.83333333333333337</v>
      </c>
      <c r="H157" s="287">
        <f t="shared" si="4"/>
        <v>0.125</v>
      </c>
      <c r="I157" s="302"/>
    </row>
    <row r="158" spans="1:9" s="303" customFormat="1" x14ac:dyDescent="0.25">
      <c r="A158" s="322">
        <v>8</v>
      </c>
      <c r="B158" s="323" t="s">
        <v>77</v>
      </c>
      <c r="C158" s="301" t="s">
        <v>10</v>
      </c>
      <c r="D158" s="316" t="s">
        <v>102</v>
      </c>
      <c r="E158" s="20" t="s">
        <v>14</v>
      </c>
      <c r="F158" s="20">
        <v>0.79166666666666663</v>
      </c>
      <c r="G158" s="21">
        <v>0.91666666666666663</v>
      </c>
      <c r="H158" s="287">
        <f t="shared" si="4"/>
        <v>0.125</v>
      </c>
      <c r="I158" s="302"/>
    </row>
    <row r="159" spans="1:9" s="303" customFormat="1" x14ac:dyDescent="0.25">
      <c r="A159" s="322">
        <v>8</v>
      </c>
      <c r="B159" s="323" t="s">
        <v>77</v>
      </c>
      <c r="C159" s="301" t="s">
        <v>92</v>
      </c>
      <c r="D159" s="316" t="s">
        <v>102</v>
      </c>
      <c r="E159" s="20" t="s">
        <v>16</v>
      </c>
      <c r="F159" s="20">
        <v>0.79166666666666663</v>
      </c>
      <c r="G159" s="21">
        <v>0.91666666666666663</v>
      </c>
      <c r="H159" s="287">
        <f t="shared" si="4"/>
        <v>0.125</v>
      </c>
      <c r="I159" s="302"/>
    </row>
    <row r="160" spans="1:9" s="303" customFormat="1" x14ac:dyDescent="0.25">
      <c r="A160" s="322">
        <v>8</v>
      </c>
      <c r="B160" s="323" t="s">
        <v>77</v>
      </c>
      <c r="C160" s="301" t="s">
        <v>93</v>
      </c>
      <c r="D160" s="316" t="s">
        <v>102</v>
      </c>
      <c r="E160" s="20" t="s">
        <v>17</v>
      </c>
      <c r="F160" s="20">
        <v>0.70833333333333337</v>
      </c>
      <c r="G160" s="21">
        <v>0.83333333333333337</v>
      </c>
      <c r="H160" s="287">
        <f t="shared" si="4"/>
        <v>0.125</v>
      </c>
      <c r="I160" s="302"/>
    </row>
    <row r="161" spans="1:9" x14ac:dyDescent="0.25">
      <c r="A161" s="322">
        <v>8</v>
      </c>
      <c r="B161" s="323" t="s">
        <v>77</v>
      </c>
      <c r="C161" s="301" t="s">
        <v>121</v>
      </c>
      <c r="D161" s="316" t="s">
        <v>102</v>
      </c>
      <c r="E161" s="20" t="s">
        <v>17</v>
      </c>
      <c r="F161" s="324">
        <v>0.79166666666666663</v>
      </c>
      <c r="G161" s="325">
        <v>0.91666666666666663</v>
      </c>
      <c r="H161" s="207">
        <f t="shared" si="4"/>
        <v>0.125</v>
      </c>
      <c r="I161" s="302"/>
    </row>
    <row r="162" spans="1:9" x14ac:dyDescent="0.25">
      <c r="A162" s="255">
        <v>9</v>
      </c>
      <c r="B162" s="256" t="s">
        <v>80</v>
      </c>
      <c r="C162" s="177" t="s">
        <v>4</v>
      </c>
      <c r="D162" s="2" t="s">
        <v>102</v>
      </c>
      <c r="E162" s="242" t="s">
        <v>17</v>
      </c>
      <c r="F162" s="243">
        <v>0.75</v>
      </c>
      <c r="G162" s="244">
        <v>0.83333333333333337</v>
      </c>
      <c r="H162" s="207">
        <f t="shared" si="4"/>
        <v>8.333333333333337E-2</v>
      </c>
      <c r="I162" s="14"/>
    </row>
    <row r="163" spans="1:9" x14ac:dyDescent="0.25">
      <c r="A163" s="255">
        <v>9</v>
      </c>
      <c r="B163" s="256" t="s">
        <v>80</v>
      </c>
      <c r="C163" s="177" t="s">
        <v>4</v>
      </c>
      <c r="D163" s="2" t="s">
        <v>104</v>
      </c>
      <c r="E163" s="242" t="s">
        <v>17</v>
      </c>
      <c r="F163" s="240">
        <v>0.83333333333333337</v>
      </c>
      <c r="G163" s="241">
        <v>0.91666666666666663</v>
      </c>
      <c r="H163" s="207">
        <f t="shared" si="4"/>
        <v>8.3333333333333259E-2</v>
      </c>
      <c r="I163" s="14"/>
    </row>
    <row r="164" spans="1:9" x14ac:dyDescent="0.25">
      <c r="A164" s="255">
        <v>9</v>
      </c>
      <c r="B164" s="256" t="s">
        <v>81</v>
      </c>
      <c r="C164" s="177" t="s">
        <v>4</v>
      </c>
      <c r="D164" s="277" t="s">
        <v>102</v>
      </c>
      <c r="E164" s="243" t="s">
        <v>15</v>
      </c>
      <c r="F164" s="240">
        <v>0.79166666666666663</v>
      </c>
      <c r="G164" s="241">
        <v>0.91666666666666663</v>
      </c>
      <c r="H164" s="207">
        <f t="shared" si="4"/>
        <v>0.125</v>
      </c>
      <c r="I164" s="14"/>
    </row>
    <row r="165" spans="1:9" x14ac:dyDescent="0.25">
      <c r="A165" s="258">
        <v>9</v>
      </c>
      <c r="B165" s="256" t="s">
        <v>82</v>
      </c>
      <c r="C165" s="177" t="s">
        <v>4</v>
      </c>
      <c r="D165" s="277" t="s">
        <v>102</v>
      </c>
      <c r="E165" s="242" t="s">
        <v>17</v>
      </c>
      <c r="F165" s="240">
        <v>0.66666666666666663</v>
      </c>
      <c r="G165" s="241">
        <v>0.75</v>
      </c>
      <c r="H165" s="207">
        <f t="shared" si="4"/>
        <v>8.333333333333337E-2</v>
      </c>
      <c r="I165" s="14"/>
    </row>
    <row r="166" spans="1:9" x14ac:dyDescent="0.25">
      <c r="A166" s="259">
        <v>9</v>
      </c>
      <c r="B166" s="8" t="s">
        <v>83</v>
      </c>
      <c r="C166" s="177" t="s">
        <v>4</v>
      </c>
      <c r="D166" s="277" t="s">
        <v>102</v>
      </c>
      <c r="E166" s="242" t="s">
        <v>16</v>
      </c>
      <c r="F166" s="263">
        <v>0.70833333333333337</v>
      </c>
      <c r="G166" s="265">
        <v>0.83333333333333337</v>
      </c>
      <c r="H166" s="207">
        <f t="shared" si="4"/>
        <v>0.125</v>
      </c>
      <c r="I166" s="14"/>
    </row>
    <row r="167" spans="1:9" x14ac:dyDescent="0.25">
      <c r="A167" s="259">
        <v>9</v>
      </c>
      <c r="B167" s="8" t="s">
        <v>83</v>
      </c>
      <c r="C167" s="177" t="s">
        <v>4</v>
      </c>
      <c r="D167" s="277" t="s">
        <v>104</v>
      </c>
      <c r="E167" s="242" t="s">
        <v>16</v>
      </c>
      <c r="F167" s="263">
        <v>0.83333333333333337</v>
      </c>
      <c r="G167" s="265">
        <v>0.91666666666666663</v>
      </c>
      <c r="H167" s="207">
        <f t="shared" si="4"/>
        <v>8.3333333333333259E-2</v>
      </c>
      <c r="I167" s="14"/>
    </row>
    <row r="168" spans="1:9" x14ac:dyDescent="0.25">
      <c r="A168" s="255">
        <v>9</v>
      </c>
      <c r="B168" s="256" t="s">
        <v>84</v>
      </c>
      <c r="C168" s="177" t="s">
        <v>4</v>
      </c>
      <c r="D168" s="277" t="s">
        <v>102</v>
      </c>
      <c r="E168" s="243" t="s">
        <v>14</v>
      </c>
      <c r="F168" s="240">
        <v>0.75</v>
      </c>
      <c r="G168" s="241">
        <v>0.83333333333333337</v>
      </c>
      <c r="H168" s="207">
        <f t="shared" si="4"/>
        <v>8.333333333333337E-2</v>
      </c>
      <c r="I168" s="14"/>
    </row>
    <row r="169" spans="1:9" x14ac:dyDescent="0.25">
      <c r="A169" s="255">
        <v>9</v>
      </c>
      <c r="B169" s="256" t="s">
        <v>84</v>
      </c>
      <c r="C169" s="177" t="s">
        <v>4</v>
      </c>
      <c r="D169" s="277" t="s">
        <v>104</v>
      </c>
      <c r="E169" s="243" t="s">
        <v>14</v>
      </c>
      <c r="F169" s="240">
        <v>0.83333333333333337</v>
      </c>
      <c r="G169" s="241">
        <v>0.91666666666666663</v>
      </c>
      <c r="H169" s="207">
        <f t="shared" si="4"/>
        <v>8.3333333333333259E-2</v>
      </c>
      <c r="I169" s="14"/>
    </row>
    <row r="170" spans="1:9" x14ac:dyDescent="0.25">
      <c r="A170" s="255">
        <v>9</v>
      </c>
      <c r="B170" s="256" t="s">
        <v>85</v>
      </c>
      <c r="C170" s="177" t="s">
        <v>4</v>
      </c>
      <c r="D170" s="2" t="s">
        <v>102</v>
      </c>
      <c r="E170" s="243" t="s">
        <v>15</v>
      </c>
      <c r="F170" s="243">
        <v>0.625</v>
      </c>
      <c r="G170" s="244">
        <v>0.70833333333333337</v>
      </c>
      <c r="H170" s="207">
        <f t="shared" si="4"/>
        <v>8.333333333333337E-2</v>
      </c>
      <c r="I170" s="14"/>
    </row>
    <row r="171" spans="1:9" x14ac:dyDescent="0.25">
      <c r="A171" s="255">
        <v>9</v>
      </c>
      <c r="B171" s="256" t="s">
        <v>85</v>
      </c>
      <c r="C171" s="177" t="s">
        <v>4</v>
      </c>
      <c r="D171" s="2" t="s">
        <v>104</v>
      </c>
      <c r="E171" s="243" t="s">
        <v>15</v>
      </c>
      <c r="F171" s="243">
        <v>0.70833333333333337</v>
      </c>
      <c r="G171" s="244">
        <v>0.79166666666666663</v>
      </c>
      <c r="H171" s="207">
        <f t="shared" si="4"/>
        <v>8.3333333333333259E-2</v>
      </c>
      <c r="I171" s="14"/>
    </row>
    <row r="172" spans="1:9" x14ac:dyDescent="0.25">
      <c r="A172" s="255">
        <v>9</v>
      </c>
      <c r="B172" s="256" t="s">
        <v>86</v>
      </c>
      <c r="C172" s="177" t="s">
        <v>4</v>
      </c>
      <c r="D172" s="2" t="s">
        <v>102</v>
      </c>
      <c r="E172" s="243" t="s">
        <v>13</v>
      </c>
      <c r="F172" s="262">
        <v>0.75</v>
      </c>
      <c r="G172" s="264">
        <v>0.83333333333333337</v>
      </c>
      <c r="H172" s="207">
        <f t="shared" si="4"/>
        <v>8.333333333333337E-2</v>
      </c>
      <c r="I172" s="14"/>
    </row>
    <row r="173" spans="1:9" x14ac:dyDescent="0.25">
      <c r="A173" s="255">
        <v>9</v>
      </c>
      <c r="B173" s="256" t="s">
        <v>86</v>
      </c>
      <c r="C173" s="177" t="s">
        <v>4</v>
      </c>
      <c r="D173" s="2" t="s">
        <v>104</v>
      </c>
      <c r="E173" s="243" t="s">
        <v>13</v>
      </c>
      <c r="F173" s="243">
        <v>0.83333333333333337</v>
      </c>
      <c r="G173" s="244">
        <v>0.91666666666666663</v>
      </c>
      <c r="H173" s="207">
        <f t="shared" si="4"/>
        <v>8.3333333333333259E-2</v>
      </c>
      <c r="I173" s="14"/>
    </row>
    <row r="174" spans="1:9" x14ac:dyDescent="0.25">
      <c r="A174" s="278">
        <v>9</v>
      </c>
      <c r="B174" s="279" t="s">
        <v>81</v>
      </c>
      <c r="C174" s="280" t="s">
        <v>6</v>
      </c>
      <c r="D174" s="281" t="s">
        <v>102</v>
      </c>
      <c r="E174" s="289" t="s">
        <v>13</v>
      </c>
      <c r="F174" s="289">
        <v>0.58333333333333337</v>
      </c>
      <c r="G174" s="290">
        <v>0.70833333333333337</v>
      </c>
      <c r="H174" s="282">
        <f t="shared" si="4"/>
        <v>0.125</v>
      </c>
      <c r="I174" s="14"/>
    </row>
    <row r="175" spans="1:9" x14ac:dyDescent="0.25">
      <c r="A175" s="278">
        <v>9</v>
      </c>
      <c r="B175" s="279" t="s">
        <v>84</v>
      </c>
      <c r="C175" s="280" t="s">
        <v>6</v>
      </c>
      <c r="D175" s="284" t="s">
        <v>102</v>
      </c>
      <c r="E175" s="291" t="s">
        <v>17</v>
      </c>
      <c r="F175" s="289">
        <v>0.83333333333333337</v>
      </c>
      <c r="G175" s="290">
        <v>0.91666666666666663</v>
      </c>
      <c r="H175" s="282">
        <f t="shared" si="4"/>
        <v>8.3333333333333259E-2</v>
      </c>
      <c r="I175" s="14"/>
    </row>
    <row r="176" spans="1:9" x14ac:dyDescent="0.25">
      <c r="A176" s="278">
        <v>9</v>
      </c>
      <c r="B176" s="279" t="s">
        <v>84</v>
      </c>
      <c r="C176" s="280" t="s">
        <v>6</v>
      </c>
      <c r="D176" s="284" t="s">
        <v>104</v>
      </c>
      <c r="E176" s="291" t="s">
        <v>17</v>
      </c>
      <c r="F176" s="289">
        <v>0.75</v>
      </c>
      <c r="G176" s="290">
        <v>0.83333333333333337</v>
      </c>
      <c r="H176" s="282">
        <f t="shared" si="4"/>
        <v>8.333333333333337E-2</v>
      </c>
      <c r="I176" s="14"/>
    </row>
    <row r="177" spans="1:9" x14ac:dyDescent="0.25">
      <c r="A177" s="278">
        <v>9</v>
      </c>
      <c r="B177" s="279" t="s">
        <v>85</v>
      </c>
      <c r="C177" s="280" t="s">
        <v>6</v>
      </c>
      <c r="D177" s="283" t="s">
        <v>102</v>
      </c>
      <c r="E177" s="291" t="s">
        <v>15</v>
      </c>
      <c r="F177" s="292">
        <v>0.66666666666666663</v>
      </c>
      <c r="G177" s="293">
        <v>0.75</v>
      </c>
      <c r="H177" s="282">
        <f t="shared" si="4"/>
        <v>8.333333333333337E-2</v>
      </c>
      <c r="I177" s="14"/>
    </row>
    <row r="178" spans="1:9" x14ac:dyDescent="0.25">
      <c r="A178" s="278">
        <v>9</v>
      </c>
      <c r="B178" s="279" t="s">
        <v>85</v>
      </c>
      <c r="C178" s="280" t="s">
        <v>6</v>
      </c>
      <c r="D178" s="284" t="s">
        <v>103</v>
      </c>
      <c r="E178" s="291" t="s">
        <v>15</v>
      </c>
      <c r="F178" s="293">
        <v>0.58333333333333337</v>
      </c>
      <c r="G178" s="293">
        <v>0.66666666666666663</v>
      </c>
      <c r="H178" s="282">
        <f t="shared" si="4"/>
        <v>8.3333333333333259E-2</v>
      </c>
      <c r="I178" s="14"/>
    </row>
    <row r="179" spans="1:9" x14ac:dyDescent="0.25">
      <c r="A179" s="28">
        <v>9</v>
      </c>
      <c r="B179" s="29" t="s">
        <v>81</v>
      </c>
      <c r="C179" s="17" t="s">
        <v>7</v>
      </c>
      <c r="D179" s="286" t="s">
        <v>102</v>
      </c>
      <c r="E179" s="20" t="s">
        <v>13</v>
      </c>
      <c r="F179" s="20">
        <v>0.70833333333333337</v>
      </c>
      <c r="G179" s="21">
        <v>0.83333333333333337</v>
      </c>
      <c r="H179" s="287">
        <f t="shared" si="4"/>
        <v>0.125</v>
      </c>
      <c r="I179" s="14"/>
    </row>
    <row r="180" spans="1:9" x14ac:dyDescent="0.25">
      <c r="A180" s="28">
        <v>9</v>
      </c>
      <c r="B180" s="29" t="s">
        <v>81</v>
      </c>
      <c r="C180" s="17" t="s">
        <v>8</v>
      </c>
      <c r="D180" s="288" t="s">
        <v>102</v>
      </c>
      <c r="E180" s="20" t="s">
        <v>15</v>
      </c>
      <c r="F180" s="20">
        <v>0.79166666666666663</v>
      </c>
      <c r="G180" s="21">
        <v>0.91666666666666663</v>
      </c>
      <c r="H180" s="287">
        <f t="shared" si="4"/>
        <v>0.125</v>
      </c>
      <c r="I180" s="14"/>
    </row>
    <row r="181" spans="1:9" x14ac:dyDescent="0.25">
      <c r="A181" s="28">
        <v>9</v>
      </c>
      <c r="B181" s="29" t="s">
        <v>81</v>
      </c>
      <c r="C181" s="17" t="s">
        <v>9</v>
      </c>
      <c r="D181" s="288" t="s">
        <v>102</v>
      </c>
      <c r="E181" s="20" t="s">
        <v>14</v>
      </c>
      <c r="F181" s="20">
        <v>0.70833333333333337</v>
      </c>
      <c r="G181" s="21">
        <v>0.83333333333333337</v>
      </c>
      <c r="H181" s="287">
        <f t="shared" si="4"/>
        <v>0.125</v>
      </c>
      <c r="I181" s="14"/>
    </row>
    <row r="182" spans="1:9" x14ac:dyDescent="0.25">
      <c r="A182" s="28">
        <v>9</v>
      </c>
      <c r="B182" s="29" t="s">
        <v>81</v>
      </c>
      <c r="C182" s="17" t="s">
        <v>10</v>
      </c>
      <c r="D182" s="288" t="s">
        <v>102</v>
      </c>
      <c r="E182" s="20" t="s">
        <v>14</v>
      </c>
      <c r="F182" s="20">
        <v>0.79166666666666663</v>
      </c>
      <c r="G182" s="21">
        <v>0.91666666666666663</v>
      </c>
      <c r="H182" s="287">
        <f t="shared" si="4"/>
        <v>0.125</v>
      </c>
      <c r="I182" s="14"/>
    </row>
    <row r="183" spans="1:9" x14ac:dyDescent="0.25">
      <c r="A183" s="28">
        <v>9</v>
      </c>
      <c r="B183" s="29" t="s">
        <v>81</v>
      </c>
      <c r="C183" s="17" t="s">
        <v>92</v>
      </c>
      <c r="D183" s="288" t="s">
        <v>102</v>
      </c>
      <c r="E183" s="20" t="s">
        <v>16</v>
      </c>
      <c r="F183" s="20">
        <v>0.79166666666666663</v>
      </c>
      <c r="G183" s="21">
        <v>0.91666666666666663</v>
      </c>
      <c r="H183" s="287">
        <f t="shared" si="4"/>
        <v>0.125</v>
      </c>
      <c r="I183" s="14"/>
    </row>
    <row r="184" spans="1:9" x14ac:dyDescent="0.25">
      <c r="A184" s="28">
        <v>9</v>
      </c>
      <c r="B184" s="29" t="s">
        <v>81</v>
      </c>
      <c r="C184" s="17" t="s">
        <v>93</v>
      </c>
      <c r="D184" s="286" t="s">
        <v>102</v>
      </c>
      <c r="E184" s="20" t="s">
        <v>17</v>
      </c>
      <c r="F184" s="20">
        <v>0.70833333333333337</v>
      </c>
      <c r="G184" s="21">
        <v>0.83333333333333337</v>
      </c>
      <c r="H184" s="287">
        <f t="shared" si="4"/>
        <v>0.125</v>
      </c>
      <c r="I184" s="14"/>
    </row>
    <row r="185" spans="1:9" x14ac:dyDescent="0.25">
      <c r="A185" s="229">
        <v>10</v>
      </c>
      <c r="B185" s="230" t="s">
        <v>87</v>
      </c>
      <c r="C185" s="172" t="s">
        <v>4</v>
      </c>
      <c r="D185" s="273" t="s">
        <v>102</v>
      </c>
      <c r="E185" s="275" t="s">
        <v>15</v>
      </c>
      <c r="F185" s="275">
        <v>0.79166666666666663</v>
      </c>
      <c r="G185" s="285">
        <v>0.91666666666666663</v>
      </c>
      <c r="H185" s="228">
        <f t="shared" si="4"/>
        <v>0.125</v>
      </c>
      <c r="I185" s="14"/>
    </row>
    <row r="186" spans="1:9" x14ac:dyDescent="0.25">
      <c r="A186" s="229">
        <v>10</v>
      </c>
      <c r="B186" s="230" t="s">
        <v>88</v>
      </c>
      <c r="C186" s="172" t="s">
        <v>4</v>
      </c>
      <c r="D186" s="271" t="s">
        <v>102</v>
      </c>
      <c r="E186" s="235" t="s">
        <v>15</v>
      </c>
      <c r="F186" s="235">
        <v>0.70833333333333337</v>
      </c>
      <c r="G186" s="236">
        <v>0.79166666666666663</v>
      </c>
      <c r="H186" s="228">
        <f t="shared" si="4"/>
        <v>8.3333333333333259E-2</v>
      </c>
      <c r="I186" s="14"/>
    </row>
    <row r="187" spans="1:9" x14ac:dyDescent="0.25">
      <c r="A187" s="229">
        <v>10</v>
      </c>
      <c r="B187" s="230" t="s">
        <v>89</v>
      </c>
      <c r="C187" s="172" t="s">
        <v>4</v>
      </c>
      <c r="D187" s="273" t="s">
        <v>102</v>
      </c>
      <c r="E187" s="275" t="s">
        <v>14</v>
      </c>
      <c r="F187" s="275">
        <v>0.75</v>
      </c>
      <c r="G187" s="285">
        <v>0.83333333333333337</v>
      </c>
      <c r="H187" s="228">
        <f t="shared" ref="H187:H192" si="5">G187-F187</f>
        <v>8.333333333333337E-2</v>
      </c>
      <c r="I187" s="14"/>
    </row>
    <row r="188" spans="1:9" x14ac:dyDescent="0.25">
      <c r="A188" s="229">
        <v>10</v>
      </c>
      <c r="B188" s="230" t="s">
        <v>89</v>
      </c>
      <c r="C188" s="172" t="s">
        <v>4</v>
      </c>
      <c r="D188" s="271" t="s">
        <v>104</v>
      </c>
      <c r="E188" s="275" t="s">
        <v>14</v>
      </c>
      <c r="F188" s="275">
        <v>0.83333333333333337</v>
      </c>
      <c r="G188" s="285">
        <v>0.91666666666666663</v>
      </c>
      <c r="H188" s="228">
        <f t="shared" si="5"/>
        <v>8.3333333333333259E-2</v>
      </c>
      <c r="I188" s="14"/>
    </row>
    <row r="189" spans="1:9" x14ac:dyDescent="0.25">
      <c r="A189" s="229">
        <v>10</v>
      </c>
      <c r="B189" s="230" t="s">
        <v>90</v>
      </c>
      <c r="C189" s="172" t="s">
        <v>4</v>
      </c>
      <c r="D189" s="271" t="s">
        <v>102</v>
      </c>
      <c r="E189" s="236" t="s">
        <v>16</v>
      </c>
      <c r="F189" s="294">
        <v>0.75</v>
      </c>
      <c r="G189" s="295">
        <v>0.83333333333333337</v>
      </c>
      <c r="H189" s="228">
        <f t="shared" si="5"/>
        <v>8.333333333333337E-2</v>
      </c>
      <c r="I189" s="14"/>
    </row>
    <row r="190" spans="1:9" x14ac:dyDescent="0.25">
      <c r="A190" s="229">
        <v>10</v>
      </c>
      <c r="B190" s="230" t="s">
        <v>90</v>
      </c>
      <c r="C190" s="172" t="s">
        <v>4</v>
      </c>
      <c r="D190" s="9" t="s">
        <v>103</v>
      </c>
      <c r="E190" s="235" t="s">
        <v>16</v>
      </c>
      <c r="F190" s="235">
        <v>0.83333333333333337</v>
      </c>
      <c r="G190" s="236">
        <v>0.91666666666666663</v>
      </c>
      <c r="H190" s="228">
        <f t="shared" si="5"/>
        <v>8.3333333333333259E-2</v>
      </c>
      <c r="I190" s="14"/>
    </row>
    <row r="191" spans="1:9" x14ac:dyDescent="0.25">
      <c r="A191" s="229">
        <v>10</v>
      </c>
      <c r="B191" s="230" t="s">
        <v>91</v>
      </c>
      <c r="C191" s="172" t="s">
        <v>4</v>
      </c>
      <c r="D191" s="271" t="s">
        <v>102</v>
      </c>
      <c r="E191" s="235" t="s">
        <v>13</v>
      </c>
      <c r="F191" s="235">
        <v>0.75</v>
      </c>
      <c r="G191" s="236">
        <v>0.83333333333333337</v>
      </c>
      <c r="H191" s="228">
        <f t="shared" si="5"/>
        <v>8.333333333333337E-2</v>
      </c>
      <c r="I191" s="14"/>
    </row>
    <row r="192" spans="1:9" x14ac:dyDescent="0.25">
      <c r="A192" s="229">
        <v>10</v>
      </c>
      <c r="B192" s="230" t="s">
        <v>91</v>
      </c>
      <c r="C192" s="172" t="s">
        <v>4</v>
      </c>
      <c r="D192" s="271" t="s">
        <v>102</v>
      </c>
      <c r="E192" s="235" t="s">
        <v>17</v>
      </c>
      <c r="F192" s="235">
        <v>0.75</v>
      </c>
      <c r="G192" s="236">
        <v>0.91666666666666663</v>
      </c>
      <c r="H192" s="228">
        <f t="shared" si="5"/>
        <v>0.16666666666666663</v>
      </c>
      <c r="I192" s="14"/>
    </row>
    <row r="193" spans="1:9" x14ac:dyDescent="0.25">
      <c r="A193" s="181">
        <v>10</v>
      </c>
      <c r="B193" s="182" t="s">
        <v>87</v>
      </c>
      <c r="C193" s="95" t="s">
        <v>6</v>
      </c>
      <c r="D193" s="1" t="s">
        <v>102</v>
      </c>
      <c r="E193" s="183" t="s">
        <v>13</v>
      </c>
      <c r="F193" s="189">
        <v>0.70833333333333337</v>
      </c>
      <c r="G193" s="190">
        <v>0.83333333333333337</v>
      </c>
      <c r="H193" s="215">
        <v>0.125</v>
      </c>
      <c r="I193" s="14"/>
    </row>
    <row r="194" spans="1:9" x14ac:dyDescent="0.25">
      <c r="A194" s="181">
        <v>10</v>
      </c>
      <c r="B194" s="182" t="s">
        <v>88</v>
      </c>
      <c r="C194" s="95" t="s">
        <v>6</v>
      </c>
      <c r="D194" s="1" t="s">
        <v>102</v>
      </c>
      <c r="E194" s="183" t="s">
        <v>13</v>
      </c>
      <c r="F194" s="183">
        <v>0.83333333333333337</v>
      </c>
      <c r="G194" s="184">
        <v>0.91666666666666663</v>
      </c>
      <c r="H194" s="215">
        <v>8.3333333333333259E-2</v>
      </c>
      <c r="I194" s="14"/>
    </row>
    <row r="195" spans="1:9" x14ac:dyDescent="0.25">
      <c r="A195" s="181">
        <v>10</v>
      </c>
      <c r="B195" s="182" t="s">
        <v>89</v>
      </c>
      <c r="C195" s="95" t="s">
        <v>6</v>
      </c>
      <c r="D195" s="272" t="s">
        <v>102</v>
      </c>
      <c r="E195" s="274" t="s">
        <v>15</v>
      </c>
      <c r="F195" s="189">
        <v>0.75</v>
      </c>
      <c r="G195" s="190">
        <v>0.83333333333333337</v>
      </c>
      <c r="H195" s="215">
        <v>8.333333333333337E-2</v>
      </c>
      <c r="I195" s="14"/>
    </row>
    <row r="196" spans="1:9" x14ac:dyDescent="0.25">
      <c r="A196" s="181">
        <v>10</v>
      </c>
      <c r="B196" s="182" t="s">
        <v>89</v>
      </c>
      <c r="C196" s="95" t="s">
        <v>6</v>
      </c>
      <c r="D196" s="272" t="s">
        <v>104</v>
      </c>
      <c r="E196" s="274" t="s">
        <v>15</v>
      </c>
      <c r="F196" s="183">
        <v>0.83333333333333337</v>
      </c>
      <c r="G196" s="184">
        <v>0.91666666666666663</v>
      </c>
      <c r="H196" s="215">
        <v>8.3333333333333259E-2</v>
      </c>
      <c r="I196" s="14"/>
    </row>
    <row r="197" spans="1:9" x14ac:dyDescent="0.25">
      <c r="A197" s="181">
        <v>10</v>
      </c>
      <c r="B197" s="182" t="s">
        <v>90</v>
      </c>
      <c r="C197" s="95" t="s">
        <v>6</v>
      </c>
      <c r="D197" s="1" t="s">
        <v>102</v>
      </c>
      <c r="E197" s="183" t="s">
        <v>17</v>
      </c>
      <c r="F197" s="189">
        <v>0.75</v>
      </c>
      <c r="G197" s="190">
        <v>0.83333333333333337</v>
      </c>
      <c r="H197" s="215">
        <v>8.333333333333337E-2</v>
      </c>
      <c r="I197" s="14"/>
    </row>
    <row r="198" spans="1:9" x14ac:dyDescent="0.25">
      <c r="A198" s="181">
        <v>10</v>
      </c>
      <c r="B198" s="182" t="s">
        <v>90</v>
      </c>
      <c r="C198" s="95" t="s">
        <v>6</v>
      </c>
      <c r="D198" s="1" t="s">
        <v>103</v>
      </c>
      <c r="E198" s="183" t="s">
        <v>17</v>
      </c>
      <c r="F198" s="183">
        <v>0.83333333333333337</v>
      </c>
      <c r="G198" s="184">
        <v>0.91666666666666663</v>
      </c>
      <c r="H198" s="215">
        <v>8.3333333333333259E-2</v>
      </c>
      <c r="I198" s="14"/>
    </row>
    <row r="199" spans="1:9" x14ac:dyDescent="0.25">
      <c r="A199" s="181">
        <v>10</v>
      </c>
      <c r="B199" s="182" t="s">
        <v>91</v>
      </c>
      <c r="C199" s="95" t="s">
        <v>6</v>
      </c>
      <c r="D199" s="1" t="s">
        <v>102</v>
      </c>
      <c r="E199" s="183" t="s">
        <v>14</v>
      </c>
      <c r="F199" s="189">
        <v>0.75</v>
      </c>
      <c r="G199" s="190">
        <v>0.83333333333333337</v>
      </c>
      <c r="H199" s="215">
        <v>8.333333333333337E-2</v>
      </c>
      <c r="I199" s="14"/>
    </row>
    <row r="200" spans="1:9" x14ac:dyDescent="0.25">
      <c r="A200" s="181">
        <v>10</v>
      </c>
      <c r="B200" s="182" t="s">
        <v>91</v>
      </c>
      <c r="C200" s="95" t="s">
        <v>6</v>
      </c>
      <c r="D200" s="1" t="s">
        <v>102</v>
      </c>
      <c r="E200" s="183" t="s">
        <v>16</v>
      </c>
      <c r="F200" s="183">
        <v>0.75</v>
      </c>
      <c r="G200" s="184">
        <v>0.91666666666666663</v>
      </c>
      <c r="H200" s="215">
        <v>0.16666666666666663</v>
      </c>
      <c r="I200" s="14"/>
    </row>
    <row r="201" spans="1:9" x14ac:dyDescent="0.25">
      <c r="A201" s="266">
        <v>10</v>
      </c>
      <c r="B201" s="267" t="s">
        <v>87</v>
      </c>
      <c r="C201" s="11" t="s">
        <v>7</v>
      </c>
      <c r="D201" s="12" t="s">
        <v>102</v>
      </c>
      <c r="E201" s="268" t="s">
        <v>13</v>
      </c>
      <c r="F201" s="276">
        <v>0.70833333333333337</v>
      </c>
      <c r="G201" s="276">
        <v>0.83333333333333337</v>
      </c>
      <c r="H201" s="270">
        <v>0.125</v>
      </c>
      <c r="I201" s="14"/>
    </row>
    <row r="202" spans="1:9" x14ac:dyDescent="0.25">
      <c r="A202" s="266">
        <v>10</v>
      </c>
      <c r="B202" s="267" t="s">
        <v>87</v>
      </c>
      <c r="C202" s="11" t="s">
        <v>8</v>
      </c>
      <c r="D202" s="12" t="s">
        <v>102</v>
      </c>
      <c r="E202" s="268" t="s">
        <v>15</v>
      </c>
      <c r="F202" s="268">
        <v>0.79166666666666663</v>
      </c>
      <c r="G202" s="269">
        <v>0.91666666666666663</v>
      </c>
      <c r="H202" s="270">
        <v>0.125</v>
      </c>
      <c r="I202" s="14"/>
    </row>
    <row r="203" spans="1:9" x14ac:dyDescent="0.25">
      <c r="A203" s="266">
        <v>10</v>
      </c>
      <c r="B203" s="267" t="s">
        <v>87</v>
      </c>
      <c r="C203" s="11" t="s">
        <v>9</v>
      </c>
      <c r="D203" s="12" t="s">
        <v>102</v>
      </c>
      <c r="E203" s="268" t="s">
        <v>14</v>
      </c>
      <c r="F203" s="268">
        <v>0.70833333333333337</v>
      </c>
      <c r="G203" s="269">
        <v>0.83333333333333337</v>
      </c>
      <c r="H203" s="270">
        <v>0.125</v>
      </c>
      <c r="I203" s="14"/>
    </row>
    <row r="204" spans="1:9" x14ac:dyDescent="0.25">
      <c r="A204" s="266">
        <v>10</v>
      </c>
      <c r="B204" s="267" t="s">
        <v>87</v>
      </c>
      <c r="C204" s="11" t="s">
        <v>10</v>
      </c>
      <c r="D204" s="12" t="s">
        <v>102</v>
      </c>
      <c r="E204" s="268" t="s">
        <v>14</v>
      </c>
      <c r="F204" s="268">
        <v>0.79166666666666663</v>
      </c>
      <c r="G204" s="269">
        <v>0.91666666666666663</v>
      </c>
      <c r="H204" s="270">
        <v>0.125</v>
      </c>
      <c r="I204" s="14"/>
    </row>
    <row r="205" spans="1:9" x14ac:dyDescent="0.25">
      <c r="A205" s="266">
        <v>10</v>
      </c>
      <c r="B205" s="267" t="s">
        <v>87</v>
      </c>
      <c r="C205" s="11" t="s">
        <v>92</v>
      </c>
      <c r="D205" s="12" t="s">
        <v>102</v>
      </c>
      <c r="E205" s="268" t="s">
        <v>16</v>
      </c>
      <c r="F205" s="268">
        <v>0.79166666666666663</v>
      </c>
      <c r="G205" s="269">
        <v>0.91666666666666663</v>
      </c>
      <c r="H205" s="270">
        <v>0.125</v>
      </c>
      <c r="I205" s="14"/>
    </row>
    <row r="206" spans="1:9" x14ac:dyDescent="0.25">
      <c r="A206" s="266">
        <v>10</v>
      </c>
      <c r="B206" s="267" t="s">
        <v>87</v>
      </c>
      <c r="C206" s="11" t="s">
        <v>93</v>
      </c>
      <c r="D206" s="12" t="s">
        <v>102</v>
      </c>
      <c r="E206" s="268" t="s">
        <v>17</v>
      </c>
      <c r="F206" s="268">
        <v>0.70833333333333337</v>
      </c>
      <c r="G206" s="269">
        <v>0.83333333333333337</v>
      </c>
      <c r="H206" s="270">
        <v>0.125</v>
      </c>
      <c r="I206" s="14"/>
    </row>
    <row r="207" spans="1:9" x14ac:dyDescent="0.25">
      <c r="A207" s="266">
        <v>10</v>
      </c>
      <c r="B207" s="267" t="s">
        <v>87</v>
      </c>
      <c r="C207" s="11" t="s">
        <v>121</v>
      </c>
      <c r="D207" s="12" t="s">
        <v>102</v>
      </c>
      <c r="E207" s="268" t="s">
        <v>17</v>
      </c>
      <c r="F207" s="268">
        <v>0.79166666666666663</v>
      </c>
      <c r="G207" s="269">
        <v>0.91666666666666663</v>
      </c>
      <c r="H207" s="270">
        <v>0.125</v>
      </c>
      <c r="I207" s="14"/>
    </row>
    <row r="208" spans="1:9" s="303" customFormat="1" x14ac:dyDescent="0.25">
      <c r="A208" s="28">
        <v>9</v>
      </c>
      <c r="B208" s="29" t="s">
        <v>81</v>
      </c>
      <c r="C208" s="17" t="s">
        <v>121</v>
      </c>
      <c r="D208" s="288" t="s">
        <v>102</v>
      </c>
      <c r="E208" s="20" t="s">
        <v>17</v>
      </c>
      <c r="F208" s="22">
        <v>0.79166666666666663</v>
      </c>
      <c r="G208" s="23">
        <v>0.91666666666666663</v>
      </c>
      <c r="H208" s="287">
        <f>G208-F208</f>
        <v>0.125</v>
      </c>
      <c r="I208" s="14"/>
    </row>
  </sheetData>
  <sortState xmlns:xlrd2="http://schemas.microsoft.com/office/spreadsheetml/2017/richdata2" ref="A123:I208">
    <sortCondition ref="A5:A208"/>
    <sortCondition ref="C5:C208"/>
    <sortCondition ref="B5:B208"/>
    <sortCondition ref="D5:D208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7C36CD-10B6-4BC4-90F5-AE3D06CF9DCA}">
          <x14:formula1>
            <xm:f>LISTAS!$A$1:$A$3</xm:f>
          </x14:formula1>
          <xm:sqref>D190 D193:D194 D197:D208 D99:D183</xm:sqref>
        </x14:dataValidation>
        <x14:dataValidation type="list" allowBlank="1" showInputMessage="1" showErrorMessage="1" xr:uid="{A301BB50-5FAD-4445-92E1-5F1AA54AF9A3}">
          <x14:formula1>
            <xm:f>LISTAS!$B$1:$B$6</xm:f>
          </x14:formula1>
          <xm:sqref>D4:D98 E99:E208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6B27-B478-4998-AAAD-CA947F04BACE}">
  <dimension ref="A1:B6"/>
  <sheetViews>
    <sheetView workbookViewId="0">
      <selection activeCell="D10" sqref="D10"/>
    </sheetView>
  </sheetViews>
  <sheetFormatPr baseColWidth="10" defaultRowHeight="15" x14ac:dyDescent="0.25"/>
  <sheetData>
    <row r="1" spans="1:2" ht="15.75" x14ac:dyDescent="0.25">
      <c r="A1" s="329" t="s">
        <v>102</v>
      </c>
      <c r="B1" s="327" t="s">
        <v>13</v>
      </c>
    </row>
    <row r="2" spans="1:2" ht="15.75" x14ac:dyDescent="0.25">
      <c r="A2" s="329" t="s">
        <v>103</v>
      </c>
      <c r="B2" s="328" t="s">
        <v>14</v>
      </c>
    </row>
    <row r="3" spans="1:2" ht="15.75" x14ac:dyDescent="0.25">
      <c r="A3" s="329" t="s">
        <v>104</v>
      </c>
      <c r="B3" s="328" t="s">
        <v>15</v>
      </c>
    </row>
    <row r="4" spans="1:2" ht="15.75" x14ac:dyDescent="0.25">
      <c r="A4" s="16"/>
      <c r="B4" s="326" t="s">
        <v>16</v>
      </c>
    </row>
    <row r="5" spans="1:2" ht="15.75" x14ac:dyDescent="0.25">
      <c r="A5" s="16"/>
      <c r="B5" s="326" t="s">
        <v>17</v>
      </c>
    </row>
    <row r="6" spans="1:2" ht="15.75" x14ac:dyDescent="0.25">
      <c r="A6" s="16"/>
      <c r="B6" s="32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EEGG</vt:lpstr>
      <vt:lpstr>Horarios EEGG</vt:lpstr>
      <vt:lpstr>hor grupos</vt:lpstr>
      <vt:lpstr>P2023</vt:lpstr>
      <vt:lpstr>PLAN 2018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Luza Montero</dc:creator>
  <cp:lastModifiedBy>Cesar</cp:lastModifiedBy>
  <dcterms:created xsi:type="dcterms:W3CDTF">2024-01-18T13:52:41Z</dcterms:created>
  <dcterms:modified xsi:type="dcterms:W3CDTF">2026-02-20T15:34:18Z</dcterms:modified>
</cp:coreProperties>
</file>